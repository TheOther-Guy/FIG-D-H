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</sheets>
  <definedNames/>
  <calcPr/>
</workbook>
</file>

<file path=xl/sharedStrings.xml><?xml version="1.0" encoding="utf-8"?>
<sst xmlns="http://schemas.openxmlformats.org/spreadsheetml/2006/main" count="185" uniqueCount="34">
  <si>
    <t>ATTENDANCE</t>
  </si>
  <si>
    <r>
      <rPr>
        <rFont val="Calibri"/>
        <b/>
        <color rgb="FF0000FF"/>
        <sz val="9.0"/>
      </rPr>
      <t xml:space="preserve">PT </t>
    </r>
    <r>
      <rPr>
        <rFont val="Calibri"/>
        <b/>
        <color rgb="FFFF0000"/>
        <sz val="9.0"/>
      </rPr>
      <t xml:space="preserve">: PRESENT, </t>
    </r>
    <r>
      <rPr>
        <rFont val="Calibri"/>
        <b/>
        <color rgb="FF0000FF"/>
        <sz val="9.0"/>
      </rPr>
      <t xml:space="preserve">AB </t>
    </r>
    <r>
      <rPr>
        <rFont val="Calibri"/>
        <b/>
        <color rgb="FFFF0000"/>
        <sz val="9.0"/>
      </rPr>
      <t xml:space="preserve">: ABSENT, </t>
    </r>
    <r>
      <rPr>
        <rFont val="Calibri"/>
        <b/>
        <color rgb="FF0000FF"/>
        <sz val="9.0"/>
      </rPr>
      <t xml:space="preserve">SL </t>
    </r>
    <r>
      <rPr>
        <rFont val="Calibri"/>
        <b/>
        <color rgb="FFFF0000"/>
        <sz val="9.0"/>
      </rPr>
      <t xml:space="preserve">: SICK LEAVE, </t>
    </r>
    <r>
      <rPr>
        <rFont val="Calibri"/>
        <b/>
        <color rgb="FF0000FF"/>
        <sz val="9.0"/>
      </rPr>
      <t xml:space="preserve">VC </t>
    </r>
    <r>
      <rPr>
        <rFont val="Calibri"/>
        <b/>
        <color rgb="FFFF0000"/>
        <sz val="9.0"/>
      </rPr>
      <t xml:space="preserve">: VACATION, </t>
    </r>
    <r>
      <rPr>
        <rFont val="Calibri"/>
        <b/>
        <color rgb="FF0000FF"/>
        <sz val="9.0"/>
      </rPr>
      <t xml:space="preserve">XO </t>
    </r>
    <r>
      <rPr>
        <rFont val="Calibri"/>
        <b/>
        <color rgb="FFFF0000"/>
        <sz val="9.0"/>
      </rPr>
      <t xml:space="preserve">: EXTRA OFF (IF WORKING IN PUBLIC HOLIDAY ON DAY OFF), </t>
    </r>
    <r>
      <rPr>
        <rFont val="Calibri"/>
        <b/>
        <color rgb="FF0000FF"/>
        <sz val="9.0"/>
      </rPr>
      <t xml:space="preserve">TR </t>
    </r>
    <r>
      <rPr>
        <rFont val="Calibri"/>
        <b/>
        <color rgb="FFFF0000"/>
        <sz val="9.0"/>
      </rPr>
      <t xml:space="preserve">: TRANSFERRED, </t>
    </r>
    <r>
      <rPr>
        <rFont val="Calibri"/>
        <b/>
        <color rgb="FF0000FF"/>
        <sz val="9.0"/>
      </rPr>
      <t xml:space="preserve">HD </t>
    </r>
    <r>
      <rPr>
        <rFont val="Calibri"/>
        <b/>
        <color rgb="FFFF0000"/>
        <sz val="9.0"/>
      </rPr>
      <t xml:space="preserve">: HALF DAY PENDING, </t>
    </r>
    <r>
      <rPr>
        <rFont val="Calibri"/>
        <b/>
        <color rgb="FF0000FF"/>
        <sz val="9.0"/>
      </rPr>
      <t xml:space="preserve">FD </t>
    </r>
    <r>
      <rPr>
        <rFont val="Calibri"/>
        <b/>
        <color rgb="FFFF0000"/>
        <sz val="9.0"/>
      </rPr>
      <t xml:space="preserve">: FULL DAY PENDING, </t>
    </r>
    <r>
      <rPr>
        <rFont val="Calibri"/>
        <b/>
        <color rgb="FF0000FF"/>
        <sz val="9.0"/>
      </rPr>
      <t xml:space="preserve">OFF </t>
    </r>
    <r>
      <rPr>
        <rFont val="Calibri"/>
        <b/>
        <color rgb="FFFF0000"/>
        <sz val="9.0"/>
      </rPr>
      <t xml:space="preserve">: OFF DAY, </t>
    </r>
    <r>
      <rPr>
        <rFont val="Calibri"/>
        <b/>
        <color rgb="FF0000FF"/>
        <sz val="9.0"/>
      </rPr>
      <t xml:space="preserve">OH </t>
    </r>
    <r>
      <rPr>
        <rFont val="Calibri"/>
        <b/>
        <color rgb="FFFF0000"/>
        <sz val="9.0"/>
      </rPr>
      <t>: HALF DAY OFF, DP : DAY OF PUBLIC HOLIDAY</t>
    </r>
  </si>
  <si>
    <t>From</t>
  </si>
  <si>
    <t>Employee number must be entered, dont reformat the sheet (No bold, no merge and dont change the colors)</t>
  </si>
  <si>
    <t>Total Worked
Days</t>
  </si>
  <si>
    <t>Total Working
Days</t>
  </si>
  <si>
    <t>Half Day Off</t>
  </si>
  <si>
    <t>Pendin
Full Day off</t>
  </si>
  <si>
    <t>Total Day Off</t>
  </si>
  <si>
    <t>Total Absents</t>
  </si>
  <si>
    <t>Total Sick Leave</t>
  </si>
  <si>
    <t>Total Public 
Holidays</t>
  </si>
  <si>
    <t>Extra Hours</t>
  </si>
  <si>
    <t>Extra Hours Days</t>
  </si>
  <si>
    <t>Total Days to Pay</t>
  </si>
  <si>
    <t>Pending Day Off</t>
  </si>
  <si>
    <t>To</t>
  </si>
  <si>
    <t>Etam 1-AVENUES</t>
  </si>
  <si>
    <t>EMP #</t>
  </si>
  <si>
    <t>NAME</t>
  </si>
  <si>
    <t>RAHMA KHALIL</t>
  </si>
  <si>
    <t>PT</t>
  </si>
  <si>
    <t>OF</t>
  </si>
  <si>
    <t>FD</t>
  </si>
  <si>
    <t>HD</t>
  </si>
  <si>
    <t xml:space="preserve">MARYANN PANARES </t>
  </si>
  <si>
    <t>HILDA CARACALLAS</t>
  </si>
  <si>
    <t>Michille Cajepi</t>
  </si>
  <si>
    <t>ANNABILLE</t>
  </si>
  <si>
    <t>Notes :</t>
  </si>
  <si>
    <t xml:space="preserve">2876 Rahma khalil date 29/3/2026  had missing scan in at 7:30 pm </t>
  </si>
  <si>
    <t>2876 rahma khalil date 7 april 2026 i was in avenues then went to wh then to mohalab and made scan in and out there 5:30 pm</t>
  </si>
  <si>
    <t xml:space="preserve">                                                                                                                </t>
  </si>
  <si>
    <t>STORE MANAGER/IN-CHARGE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</si>
</sst>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dd&quot;-&quot;ddd&quot;-&quot;mmm"/>
    <numFmt numFmtId="166" formatCode="[$£-809]#,##0.00"/>
  </numFmts>
  <fonts count="13">
    <font>
      <sz val="10.0"/>
      <color rgb="FF000000"/>
      <name val="Arial"/>
      <scheme val="minor"/>
    </font>
    <font>
      <b/>
      <sz val="12.0"/>
      <color theme="1"/>
      <name val="Roboto Mono"/>
    </font>
    <font>
      <b/>
      <sz val="11.0"/>
      <color rgb="FFFF0000"/>
      <name val="Calibri"/>
    </font>
    <font/>
    <font>
      <b/>
      <color theme="1"/>
      <name val="Calibri"/>
    </font>
    <font>
      <color theme="1"/>
      <name val="Arial"/>
    </font>
    <font>
      <b/>
      <sz val="8.0"/>
      <color rgb="FF00FF00"/>
      <name val="Montserrat"/>
    </font>
    <font>
      <sz val="9.0"/>
      <color theme="1"/>
      <name val="Arial"/>
    </font>
    <font>
      <color rgb="FFFFFFFF"/>
      <name val="Arial"/>
    </font>
    <font>
      <color theme="1"/>
      <name val="Verdana"/>
    </font>
    <font>
      <b/>
      <color rgb="FFFFFFFF"/>
      <name val="Arial"/>
    </font>
    <font>
      <color theme="1"/>
      <name val="Arial"/>
      <scheme val="minor"/>
    </font>
    <font>
      <sz val="12.0"/>
      <color theme="1"/>
      <name val="Courier New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EA4335"/>
        <bgColor rgb="FFEA4335"/>
      </patternFill>
    </fill>
    <fill>
      <patternFill patternType="solid">
        <fgColor rgb="FF34A853"/>
        <bgColor rgb="FF34A853"/>
      </patternFill>
    </fill>
    <fill>
      <patternFill patternType="solid">
        <fgColor rgb="FF3C78D8"/>
        <bgColor rgb="FF3C78D8"/>
      </patternFill>
    </fill>
    <fill>
      <patternFill patternType="solid">
        <fgColor rgb="FFA61C00"/>
        <bgColor rgb="FFA61C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0" fontId="2" numFmtId="0" xfId="0" applyAlignment="1" applyBorder="1" applyFont="1">
      <alignment vertical="bottom"/>
    </xf>
    <xf borderId="1" fillId="0" fontId="3" numFmtId="0" xfId="0" applyBorder="1" applyFont="1"/>
    <xf borderId="2" fillId="0" fontId="3" numFmtId="0" xfId="0" applyBorder="1" applyFont="1"/>
    <xf borderId="0" fillId="0" fontId="2" numFmtId="0" xfId="0" applyAlignment="1" applyFont="1">
      <alignment vertical="center"/>
    </xf>
    <xf borderId="3" fillId="2" fontId="4" numFmtId="0" xfId="0" applyBorder="1" applyFont="1"/>
    <xf borderId="3" fillId="3" fontId="5" numFmtId="164" xfId="0" applyAlignment="1" applyBorder="1" applyFill="1" applyFont="1" applyNumberFormat="1">
      <alignment horizontal="center"/>
    </xf>
    <xf borderId="4" fillId="4" fontId="6" numFmtId="0" xfId="0" applyAlignment="1" applyBorder="1" applyFill="1" applyFont="1">
      <alignment vertical="center"/>
    </xf>
    <xf borderId="5" fillId="0" fontId="3" numFmtId="0" xfId="0" applyBorder="1" applyFont="1"/>
    <xf borderId="6" fillId="0" fontId="3" numFmtId="0" xfId="0" applyBorder="1" applyFont="1"/>
    <xf borderId="7" fillId="5" fontId="7" numFmtId="0" xfId="0" applyAlignment="1" applyBorder="1" applyFill="1" applyFont="1">
      <alignment horizontal="center" textRotation="90" vertical="center"/>
    </xf>
    <xf borderId="7" fillId="5" fontId="7" numFmtId="0" xfId="0" applyAlignment="1" applyBorder="1" applyFont="1">
      <alignment horizontal="center" readingOrder="0" textRotation="90" vertical="center"/>
    </xf>
    <xf borderId="7" fillId="5" fontId="7" numFmtId="0" xfId="0" applyAlignment="1" applyBorder="1" applyFont="1">
      <alignment horizontal="center" textRotation="90" vertical="center"/>
    </xf>
    <xf borderId="8" fillId="2" fontId="4" numFmtId="0" xfId="0" applyBorder="1" applyFont="1"/>
    <xf borderId="7" fillId="5" fontId="5" numFmtId="165" xfId="0" applyAlignment="1" applyBorder="1" applyFont="1" applyNumberFormat="1">
      <alignment horizontal="center" textRotation="90" vertical="center"/>
    </xf>
    <xf borderId="9" fillId="0" fontId="3" numFmtId="0" xfId="0" applyBorder="1" applyFont="1"/>
    <xf borderId="10" fillId="4" fontId="8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3" fillId="5" fontId="5" numFmtId="0" xfId="0" applyBorder="1" applyFont="1"/>
    <xf borderId="13" fillId="0" fontId="3" numFmtId="0" xfId="0" applyBorder="1" applyFont="1"/>
    <xf borderId="3" fillId="0" fontId="9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3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3" fillId="6" fontId="5" numFmtId="0" xfId="0" applyAlignment="1" applyBorder="1" applyFill="1" applyFont="1">
      <alignment horizontal="center" vertical="bottom"/>
    </xf>
    <xf borderId="3" fillId="7" fontId="5" numFmtId="0" xfId="0" applyAlignment="1" applyBorder="1" applyFill="1" applyFont="1">
      <alignment horizontal="center" vertical="bottom"/>
    </xf>
    <xf borderId="3" fillId="8" fontId="5" numFmtId="0" xfId="0" applyAlignment="1" applyBorder="1" applyFill="1" applyFont="1">
      <alignment horizontal="center" vertical="bottom"/>
    </xf>
    <xf borderId="3" fillId="9" fontId="5" numFmtId="0" xfId="0" applyAlignment="1" applyBorder="1" applyFill="1" applyFont="1">
      <alignment horizontal="center" vertical="bottom"/>
    </xf>
    <xf borderId="3" fillId="10" fontId="8" numFmtId="0" xfId="0" applyAlignment="1" applyBorder="1" applyFill="1" applyFont="1">
      <alignment horizontal="center" vertical="center"/>
    </xf>
    <xf borderId="0" fillId="0" fontId="9" numFmtId="0" xfId="0" applyAlignment="1" applyFont="1">
      <alignment readingOrder="0"/>
    </xf>
    <xf borderId="3" fillId="0" fontId="7" numFmtId="0" xfId="0" applyBorder="1" applyFont="1"/>
    <xf borderId="3" fillId="0" fontId="9" numFmtId="0" xfId="0" applyBorder="1" applyFont="1"/>
    <xf borderId="0" fillId="0" fontId="5" numFmtId="0" xfId="0" applyFont="1"/>
    <xf borderId="3" fillId="0" fontId="7" numFmtId="166" xfId="0" applyBorder="1" applyFont="1" applyNumberFormat="1"/>
    <xf borderId="3" fillId="0" fontId="5" numFmtId="0" xfId="0" applyBorder="1" applyFont="1"/>
    <xf borderId="3" fillId="0" fontId="5" numFmtId="0" xfId="0" applyAlignment="1" applyBorder="1" applyFont="1">
      <alignment readingOrder="0"/>
    </xf>
    <xf borderId="0" fillId="0" fontId="7" numFmtId="0" xfId="0" applyFont="1"/>
    <xf borderId="0" fillId="4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4" fillId="0" fontId="9" numFmtId="0" xfId="0" applyAlignment="1" applyBorder="1" applyFont="1">
      <alignment readingOrder="0"/>
    </xf>
    <xf borderId="0" fillId="0" fontId="5" numFmtId="4" xfId="0" applyAlignment="1" applyFont="1" applyNumberFormat="1">
      <alignment readingOrder="0" vertical="bottom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 vertical="bottom"/>
    </xf>
    <xf borderId="0" fillId="11" fontId="8" numFmtId="0" xfId="0" applyAlignment="1" applyFill="1" applyFont="1">
      <alignment horizontal="right" vertical="bottom"/>
    </xf>
    <xf borderId="0" fillId="0" fontId="8" numFmtId="0" xfId="0" applyAlignment="1" applyFont="1">
      <alignment horizontal="right" vertical="bottom"/>
    </xf>
    <xf borderId="4" fillId="12" fontId="12" numFmtId="0" xfId="0" applyAlignment="1" applyBorder="1" applyFill="1" applyFont="1">
      <alignment horizontal="center" vertical="bottom"/>
    </xf>
    <xf borderId="10" fillId="0" fontId="5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2" width="26.25"/>
    <col customWidth="1" min="3" max="32" width="5.13"/>
    <col customWidth="1" min="33" max="42" width="3.88"/>
    <col customWidth="1" min="43" max="45" width="5.25"/>
  </cols>
  <sheetData>
    <row r="1" ht="17.25" customHeight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/>
    </row>
    <row r="2" ht="16.5" customHeight="1">
      <c r="A2" s="6" t="s">
        <v>2</v>
      </c>
      <c r="B2" s="7">
        <f>IFERROR(__xludf.DUMMYFUNCTION("IMPORTRANGE(""1sB_SYrfG9ut7Vakuo_WElzERLHZfd8k6B_UrIy1pCsU"",""SHEET1!D5"")"),46106.0)</f>
        <v>46106</v>
      </c>
      <c r="C2" s="8" t="s">
        <v>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0"/>
      <c r="AH2" s="11" t="s">
        <v>4</v>
      </c>
      <c r="AI2" s="11" t="s">
        <v>5</v>
      </c>
      <c r="AJ2" s="12" t="s">
        <v>6</v>
      </c>
      <c r="AK2" s="11" t="s">
        <v>7</v>
      </c>
      <c r="AL2" s="12" t="s">
        <v>8</v>
      </c>
      <c r="AM2" s="11" t="s">
        <v>9</v>
      </c>
      <c r="AN2" s="13" t="s">
        <v>10</v>
      </c>
      <c r="AO2" s="11" t="s">
        <v>11</v>
      </c>
      <c r="AP2" s="11" t="s">
        <v>12</v>
      </c>
      <c r="AQ2" s="11" t="s">
        <v>13</v>
      </c>
      <c r="AR2" s="11" t="s">
        <v>14</v>
      </c>
      <c r="AS2" s="12" t="s">
        <v>15</v>
      </c>
    </row>
    <row r="3" ht="16.5" customHeight="1">
      <c r="A3" s="14" t="s">
        <v>16</v>
      </c>
      <c r="B3" s="7">
        <f>IFERROR(__xludf.DUMMYFUNCTION("IMPORTRANGE(""1sB_SYrfG9ut7Vakuo_WElzERLHZfd8k6B_UrIy1pCsU"",""SHEET1!D6"")"),46136.0)</f>
        <v>46136</v>
      </c>
      <c r="C3" s="15">
        <f>B2</f>
        <v>46106</v>
      </c>
      <c r="D3" s="15">
        <f>C3+1</f>
        <v>46107</v>
      </c>
      <c r="E3" s="15">
        <f t="shared" ref="E3:AD3" si="1">D3:D6+1</f>
        <v>46108</v>
      </c>
      <c r="F3" s="15">
        <f t="shared" si="1"/>
        <v>46109</v>
      </c>
      <c r="G3" s="15">
        <f t="shared" si="1"/>
        <v>46110</v>
      </c>
      <c r="H3" s="15">
        <f t="shared" si="1"/>
        <v>46111</v>
      </c>
      <c r="I3" s="15">
        <f t="shared" si="1"/>
        <v>46112</v>
      </c>
      <c r="J3" s="15">
        <f t="shared" si="1"/>
        <v>46113</v>
      </c>
      <c r="K3" s="15">
        <f t="shared" si="1"/>
        <v>46114</v>
      </c>
      <c r="L3" s="15">
        <f t="shared" si="1"/>
        <v>46115</v>
      </c>
      <c r="M3" s="15">
        <f t="shared" si="1"/>
        <v>46116</v>
      </c>
      <c r="N3" s="15">
        <f t="shared" si="1"/>
        <v>46117</v>
      </c>
      <c r="O3" s="15">
        <f t="shared" si="1"/>
        <v>46118</v>
      </c>
      <c r="P3" s="15">
        <f t="shared" si="1"/>
        <v>46119</v>
      </c>
      <c r="Q3" s="15">
        <f t="shared" si="1"/>
        <v>46120</v>
      </c>
      <c r="R3" s="15">
        <f t="shared" si="1"/>
        <v>46121</v>
      </c>
      <c r="S3" s="15">
        <f t="shared" si="1"/>
        <v>46122</v>
      </c>
      <c r="T3" s="15">
        <f t="shared" si="1"/>
        <v>46123</v>
      </c>
      <c r="U3" s="15">
        <f t="shared" si="1"/>
        <v>46124</v>
      </c>
      <c r="V3" s="15">
        <f t="shared" si="1"/>
        <v>46125</v>
      </c>
      <c r="W3" s="15">
        <f t="shared" si="1"/>
        <v>46126</v>
      </c>
      <c r="X3" s="15">
        <f t="shared" si="1"/>
        <v>46127</v>
      </c>
      <c r="Y3" s="15">
        <f t="shared" si="1"/>
        <v>46128</v>
      </c>
      <c r="Z3" s="15">
        <f t="shared" si="1"/>
        <v>46129</v>
      </c>
      <c r="AA3" s="15">
        <f t="shared" si="1"/>
        <v>46130</v>
      </c>
      <c r="AB3" s="15">
        <f t="shared" si="1"/>
        <v>46131</v>
      </c>
      <c r="AC3" s="15">
        <f t="shared" si="1"/>
        <v>46132</v>
      </c>
      <c r="AD3" s="15">
        <f t="shared" si="1"/>
        <v>46133</v>
      </c>
      <c r="AE3" s="15">
        <f>IF(AI7&lt;=29, "",AD3:AD6+1)</f>
        <v>46134</v>
      </c>
      <c r="AF3" s="15">
        <f>IF(AI7&lt;=29, "",AE3:AE6+1)</f>
        <v>46135</v>
      </c>
      <c r="AG3" s="15">
        <f>IF(AI7&lt;=30, "",AF3:AF6+1)</f>
        <v>46136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ht="15.75" customHeight="1">
      <c r="A4" s="17" t="s">
        <v>17</v>
      </c>
      <c r="B4" s="18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ht="15.75" customHeight="1">
      <c r="A5" s="19"/>
      <c r="B5" s="4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ht="15.75" customHeight="1">
      <c r="A6" s="20" t="s">
        <v>18</v>
      </c>
      <c r="B6" s="20" t="s">
        <v>19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</row>
    <row r="7" ht="15.75" customHeight="1">
      <c r="A7" s="22">
        <v>2876.0</v>
      </c>
      <c r="B7" s="22" t="s">
        <v>20</v>
      </c>
      <c r="C7" s="23" t="s">
        <v>21</v>
      </c>
      <c r="D7" s="23" t="s">
        <v>21</v>
      </c>
      <c r="E7" s="23" t="s">
        <v>22</v>
      </c>
      <c r="F7" s="23" t="s">
        <v>21</v>
      </c>
      <c r="G7" s="23" t="s">
        <v>21</v>
      </c>
      <c r="H7" s="23" t="s">
        <v>21</v>
      </c>
      <c r="I7" s="23" t="s">
        <v>21</v>
      </c>
      <c r="J7" s="23" t="s">
        <v>21</v>
      </c>
      <c r="K7" s="23" t="s">
        <v>21</v>
      </c>
      <c r="L7" s="23" t="s">
        <v>22</v>
      </c>
      <c r="M7" s="23" t="s">
        <v>23</v>
      </c>
      <c r="N7" s="23" t="s">
        <v>21</v>
      </c>
      <c r="O7" s="23" t="s">
        <v>21</v>
      </c>
      <c r="P7" s="23" t="s">
        <v>21</v>
      </c>
      <c r="Q7" s="23" t="s">
        <v>21</v>
      </c>
      <c r="R7" s="23" t="s">
        <v>21</v>
      </c>
      <c r="S7" s="23" t="s">
        <v>22</v>
      </c>
      <c r="T7" s="23" t="s">
        <v>24</v>
      </c>
      <c r="U7" s="23" t="s">
        <v>21</v>
      </c>
      <c r="V7" s="23" t="s">
        <v>21</v>
      </c>
      <c r="W7" s="23" t="s">
        <v>21</v>
      </c>
      <c r="X7" s="23" t="s">
        <v>21</v>
      </c>
      <c r="Y7" s="23" t="s">
        <v>21</v>
      </c>
      <c r="Z7" s="23" t="s">
        <v>22</v>
      </c>
      <c r="AA7" s="23" t="s">
        <v>21</v>
      </c>
      <c r="AB7" s="23" t="s">
        <v>21</v>
      </c>
      <c r="AC7" s="23" t="s">
        <v>21</v>
      </c>
      <c r="AD7" s="23" t="s">
        <v>21</v>
      </c>
      <c r="AE7" s="23" t="s">
        <v>21</v>
      </c>
      <c r="AF7" s="23" t="s">
        <v>21</v>
      </c>
      <c r="AG7" s="23" t="s">
        <v>22</v>
      </c>
      <c r="AH7" s="24">
        <f t="shared" ref="AH7:AH27" si="2">IF(COUNTIF(C7:AG7,"PT")+COUNTIF(C7:AG7,"SL")+COUNTIF(C7:AG7,"OF")+COUNTIF(C7:AG7,"XO")+COUNTIF(C7:AG7,"&gt;0")+COUNTIF(C7:AG7,"PH")+COUNTIF(C7:AG7,"HD")+COUNTIF(C7:AG7,"DP")+COUNTIF(C7:AG7,"FD")+COUNTIF(C7:AG7,"OH")=0,"",COUNTIF(C7:AG7,"PT")+COUNTIF(C7:AG7,"SL")+COUNTIF(C7:AG7,"OF")+COUNTIF(C7:AG7,"DP")+COUNTIF(C7:AG7,"XO")+COUNTIF(C7:AG7,"&gt;0")+COUNTIF(C7:AG7,"PH")++COUNTIF(C7:AG7,"HD")+COUNTIF(C7:AG7,"FD")+COUNTIF(C7:AG7,"OH"))</f>
        <v>31</v>
      </c>
      <c r="AI7" s="25">
        <f t="shared" ref="AI7:AI27" si="3">DAYS(B$3, B$2)+1</f>
        <v>31</v>
      </c>
      <c r="AJ7" s="24" t="str">
        <f t="shared" ref="AJ7:AJ27" si="4">IF(COUNTIF(C7:AG7,"OH")=0,"",COUNTIF(C7:AG7,"OH")/2)</f>
        <v/>
      </c>
      <c r="AK7" s="24">
        <f t="shared" ref="AK7:AK27" si="5">IF(COUNTIF(C7:AG7,"HD")*0.5 +  COUNTIF(C7:AG7,"FD")=0,"",COUNTIF(C7:AG7,"HD")*0.5 +  COUNTIF(C7:AG7,"FD")*1)</f>
        <v>1.5</v>
      </c>
      <c r="AL7" s="26">
        <f t="shared" ref="AL7:AL27" si="6">IF(COUNTIF(C7:AG7,"DP")+COUNTIF(C7:AG7,"OF")=0,"",COUNTIF(C7:AG7,"OF")+COUNTIF(C7:AG7,"DP"))</f>
        <v>5</v>
      </c>
      <c r="AM7" s="27" t="str">
        <f t="shared" ref="AM7:AM27" si="7">IF(COUNTIF(C7:AG7,"Ab")=0,"",COUNTIF(C7:AG7,"Ab"))</f>
        <v/>
      </c>
      <c r="AN7" s="26" t="str">
        <f t="shared" ref="AN7:AN27" si="8">IF(COUNTIF(C7:AH7,"sl")=0,"",COUNTIF(C7:AH7,"sl"))</f>
        <v/>
      </c>
      <c r="AO7" s="28" t="str">
        <f t="shared" ref="AO7:AO27" si="9">IF(COUNTIF(C7:AG7,"DP")+COUNTIF(C7:AG7,"PH")=0,"",COUNTIF(C7:AG7,"PH")+COUNTIF(C7:AG7,"DP"))</f>
        <v/>
      </c>
      <c r="AP7" s="29" t="str">
        <f t="shared" ref="AP7:AP27" si="10">IF(SUM(C7:AG7)=0,"",SUM(C7:AG7))</f>
        <v/>
      </c>
      <c r="AQ7" s="29" t="str">
        <f t="shared" ref="AQ7:AQ27" si="11">IF(AP7/8=0,"",AP7/8)</f>
        <v/>
      </c>
      <c r="AR7" s="30">
        <f t="shared" ref="AR7:AR27" si="12">IF(AH7=0,"",AH7)</f>
        <v>31</v>
      </c>
      <c r="AS7" s="30">
        <f t="shared" ref="AS7:AS27" si="13">IF(A7="", "", IF(4-COUNTIF(C7:AH7,"OF")=0, "", 4-COUNTIF(C7:AH7,"OF")))</f>
        <v>-1</v>
      </c>
    </row>
    <row r="8" ht="15.75" customHeight="1">
      <c r="A8" s="22">
        <v>2392.0</v>
      </c>
      <c r="B8" s="22" t="s">
        <v>25</v>
      </c>
      <c r="C8" s="23" t="s">
        <v>21</v>
      </c>
      <c r="D8" s="23" t="s">
        <v>21</v>
      </c>
      <c r="E8" s="23" t="s">
        <v>24</v>
      </c>
      <c r="F8" s="23" t="s">
        <v>21</v>
      </c>
      <c r="G8" s="23" t="s">
        <v>21</v>
      </c>
      <c r="H8" s="23" t="s">
        <v>22</v>
      </c>
      <c r="I8" s="23" t="s">
        <v>21</v>
      </c>
      <c r="J8" s="23" t="s">
        <v>24</v>
      </c>
      <c r="K8" s="23" t="s">
        <v>21</v>
      </c>
      <c r="L8" s="23" t="s">
        <v>21</v>
      </c>
      <c r="M8" s="23" t="s">
        <v>21</v>
      </c>
      <c r="N8" s="23" t="s">
        <v>21</v>
      </c>
      <c r="O8" s="23" t="s">
        <v>22</v>
      </c>
      <c r="P8" s="23" t="s">
        <v>21</v>
      </c>
      <c r="Q8" s="23" t="s">
        <v>21</v>
      </c>
      <c r="R8" s="23" t="s">
        <v>24</v>
      </c>
      <c r="S8" s="23" t="s">
        <v>21</v>
      </c>
      <c r="T8" s="23" t="s">
        <v>21</v>
      </c>
      <c r="U8" s="23" t="s">
        <v>21</v>
      </c>
      <c r="V8" s="23" t="s">
        <v>22</v>
      </c>
      <c r="W8" s="23" t="s">
        <v>24</v>
      </c>
      <c r="X8" s="23" t="s">
        <v>21</v>
      </c>
      <c r="Y8" s="23" t="s">
        <v>21</v>
      </c>
      <c r="Z8" s="23" t="s">
        <v>21</v>
      </c>
      <c r="AA8" s="23" t="s">
        <v>21</v>
      </c>
      <c r="AB8" s="23" t="s">
        <v>21</v>
      </c>
      <c r="AC8" s="23" t="s">
        <v>22</v>
      </c>
      <c r="AD8" s="23" t="s">
        <v>21</v>
      </c>
      <c r="AE8" s="23" t="s">
        <v>21</v>
      </c>
      <c r="AF8" s="23" t="s">
        <v>21</v>
      </c>
      <c r="AG8" s="23" t="s">
        <v>21</v>
      </c>
      <c r="AH8" s="24">
        <f t="shared" si="2"/>
        <v>31</v>
      </c>
      <c r="AI8" s="25">
        <f t="shared" si="3"/>
        <v>31</v>
      </c>
      <c r="AJ8" s="24" t="str">
        <f t="shared" si="4"/>
        <v/>
      </c>
      <c r="AK8" s="24">
        <f t="shared" si="5"/>
        <v>2</v>
      </c>
      <c r="AL8" s="26">
        <f t="shared" si="6"/>
        <v>4</v>
      </c>
      <c r="AM8" s="27" t="str">
        <f t="shared" si="7"/>
        <v/>
      </c>
      <c r="AN8" s="26" t="str">
        <f t="shared" si="8"/>
        <v/>
      </c>
      <c r="AO8" s="28" t="str">
        <f t="shared" si="9"/>
        <v/>
      </c>
      <c r="AP8" s="29" t="str">
        <f t="shared" si="10"/>
        <v/>
      </c>
      <c r="AQ8" s="29" t="str">
        <f t="shared" si="11"/>
        <v/>
      </c>
      <c r="AR8" s="30">
        <f t="shared" si="12"/>
        <v>31</v>
      </c>
      <c r="AS8" s="30" t="str">
        <f t="shared" si="13"/>
        <v/>
      </c>
    </row>
    <row r="9" ht="15.75" customHeight="1">
      <c r="A9" s="22">
        <v>2684.0</v>
      </c>
      <c r="B9" s="31" t="s">
        <v>26</v>
      </c>
      <c r="C9" s="23" t="s">
        <v>21</v>
      </c>
      <c r="D9" s="23" t="s">
        <v>23</v>
      </c>
      <c r="E9" s="23" t="s">
        <v>21</v>
      </c>
      <c r="F9" s="23" t="s">
        <v>21</v>
      </c>
      <c r="G9" s="23" t="s">
        <v>22</v>
      </c>
      <c r="H9" s="23" t="s">
        <v>21</v>
      </c>
      <c r="I9" s="23" t="s">
        <v>21</v>
      </c>
      <c r="J9" s="23" t="s">
        <v>21</v>
      </c>
      <c r="K9" s="23" t="s">
        <v>23</v>
      </c>
      <c r="L9" s="23" t="s">
        <v>21</v>
      </c>
      <c r="M9" s="23" t="s">
        <v>21</v>
      </c>
      <c r="N9" s="23" t="s">
        <v>22</v>
      </c>
      <c r="O9" s="23" t="s">
        <v>21</v>
      </c>
      <c r="P9" s="23" t="s">
        <v>21</v>
      </c>
      <c r="Q9" s="23" t="s">
        <v>24</v>
      </c>
      <c r="R9" s="23" t="s">
        <v>21</v>
      </c>
      <c r="S9" s="23" t="s">
        <v>21</v>
      </c>
      <c r="T9" s="23" t="s">
        <v>24</v>
      </c>
      <c r="U9" s="23" t="s">
        <v>22</v>
      </c>
      <c r="V9" s="23" t="s">
        <v>21</v>
      </c>
      <c r="W9" s="23" t="s">
        <v>21</v>
      </c>
      <c r="X9" s="23" t="s">
        <v>21</v>
      </c>
      <c r="Y9" s="23" t="s">
        <v>23</v>
      </c>
      <c r="Z9" s="23" t="s">
        <v>21</v>
      </c>
      <c r="AA9" s="23" t="s">
        <v>21</v>
      </c>
      <c r="AB9" s="23" t="s">
        <v>22</v>
      </c>
      <c r="AC9" s="23" t="s">
        <v>21</v>
      </c>
      <c r="AD9" s="23" t="s">
        <v>21</v>
      </c>
      <c r="AE9" s="23" t="s">
        <v>24</v>
      </c>
      <c r="AF9" s="23" t="s">
        <v>21</v>
      </c>
      <c r="AG9" s="23" t="s">
        <v>21</v>
      </c>
      <c r="AH9" s="24">
        <f t="shared" si="2"/>
        <v>31</v>
      </c>
      <c r="AI9" s="25">
        <f t="shared" si="3"/>
        <v>31</v>
      </c>
      <c r="AJ9" s="24" t="str">
        <f t="shared" si="4"/>
        <v/>
      </c>
      <c r="AK9" s="24">
        <f t="shared" si="5"/>
        <v>4.5</v>
      </c>
      <c r="AL9" s="26">
        <f t="shared" si="6"/>
        <v>4</v>
      </c>
      <c r="AM9" s="27" t="str">
        <f t="shared" si="7"/>
        <v/>
      </c>
      <c r="AN9" s="26" t="str">
        <f t="shared" si="8"/>
        <v/>
      </c>
      <c r="AO9" s="28" t="str">
        <f t="shared" si="9"/>
        <v/>
      </c>
      <c r="AP9" s="29" t="str">
        <f t="shared" si="10"/>
        <v/>
      </c>
      <c r="AQ9" s="29" t="str">
        <f t="shared" si="11"/>
        <v/>
      </c>
      <c r="AR9" s="30">
        <f t="shared" si="12"/>
        <v>31</v>
      </c>
      <c r="AS9" s="30" t="str">
        <f t="shared" si="13"/>
        <v/>
      </c>
    </row>
    <row r="10" ht="15.75" customHeight="1">
      <c r="A10" s="22">
        <v>2869.0</v>
      </c>
      <c r="B10" s="22" t="s">
        <v>27</v>
      </c>
      <c r="C10" s="23" t="s">
        <v>21</v>
      </c>
      <c r="D10" s="23" t="s">
        <v>21</v>
      </c>
      <c r="E10" s="23" t="s">
        <v>21</v>
      </c>
      <c r="F10" s="23" t="s">
        <v>21</v>
      </c>
      <c r="G10" s="23" t="s">
        <v>21</v>
      </c>
      <c r="H10" s="23" t="s">
        <v>21</v>
      </c>
      <c r="I10" s="23" t="s">
        <v>22</v>
      </c>
      <c r="J10" s="23" t="s">
        <v>21</v>
      </c>
      <c r="K10" s="23" t="s">
        <v>21</v>
      </c>
      <c r="L10" s="23" t="s">
        <v>23</v>
      </c>
      <c r="M10" s="23" t="s">
        <v>21</v>
      </c>
      <c r="N10" s="23" t="s">
        <v>21</v>
      </c>
      <c r="O10" s="23" t="s">
        <v>24</v>
      </c>
      <c r="P10" s="23" t="s">
        <v>22</v>
      </c>
      <c r="Q10" s="23" t="s">
        <v>21</v>
      </c>
      <c r="R10" s="23" t="s">
        <v>21</v>
      </c>
      <c r="S10" s="23" t="s">
        <v>23</v>
      </c>
      <c r="T10" s="23" t="s">
        <v>21</v>
      </c>
      <c r="U10" s="23" t="s">
        <v>21</v>
      </c>
      <c r="V10" s="23" t="s">
        <v>24</v>
      </c>
      <c r="W10" s="23" t="s">
        <v>22</v>
      </c>
      <c r="X10" s="23" t="s">
        <v>21</v>
      </c>
      <c r="Y10" s="23" t="s">
        <v>21</v>
      </c>
      <c r="Z10" s="23" t="s">
        <v>23</v>
      </c>
      <c r="AA10" s="23" t="s">
        <v>21</v>
      </c>
      <c r="AB10" s="23" t="s">
        <v>21</v>
      </c>
      <c r="AC10" s="23" t="s">
        <v>24</v>
      </c>
      <c r="AD10" s="23" t="s">
        <v>22</v>
      </c>
      <c r="AE10" s="23" t="s">
        <v>21</v>
      </c>
      <c r="AF10" s="23" t="s">
        <v>21</v>
      </c>
      <c r="AG10" s="23" t="s">
        <v>21</v>
      </c>
      <c r="AH10" s="24">
        <f t="shared" si="2"/>
        <v>31</v>
      </c>
      <c r="AI10" s="25">
        <f t="shared" si="3"/>
        <v>31</v>
      </c>
      <c r="AJ10" s="24" t="str">
        <f t="shared" si="4"/>
        <v/>
      </c>
      <c r="AK10" s="24">
        <f t="shared" si="5"/>
        <v>4.5</v>
      </c>
      <c r="AL10" s="26">
        <f t="shared" si="6"/>
        <v>4</v>
      </c>
      <c r="AM10" s="27" t="str">
        <f t="shared" si="7"/>
        <v/>
      </c>
      <c r="AN10" s="26" t="str">
        <f t="shared" si="8"/>
        <v/>
      </c>
      <c r="AO10" s="28" t="str">
        <f t="shared" si="9"/>
        <v/>
      </c>
      <c r="AP10" s="29" t="str">
        <f t="shared" si="10"/>
        <v/>
      </c>
      <c r="AQ10" s="29" t="str">
        <f t="shared" si="11"/>
        <v/>
      </c>
      <c r="AR10" s="30">
        <f t="shared" si="12"/>
        <v>31</v>
      </c>
      <c r="AS10" s="30" t="str">
        <f t="shared" si="13"/>
        <v/>
      </c>
    </row>
    <row r="11" ht="15.75" customHeight="1">
      <c r="A11" s="22">
        <v>2825.0</v>
      </c>
      <c r="B11" s="22" t="s">
        <v>28</v>
      </c>
      <c r="C11" s="23" t="s">
        <v>22</v>
      </c>
      <c r="D11" s="23" t="s">
        <v>21</v>
      </c>
      <c r="E11" s="23" t="s">
        <v>21</v>
      </c>
      <c r="F11" s="23" t="s">
        <v>23</v>
      </c>
      <c r="G11" s="23" t="s">
        <v>21</v>
      </c>
      <c r="H11" s="23" t="s">
        <v>21</v>
      </c>
      <c r="I11" s="23" t="s">
        <v>21</v>
      </c>
      <c r="J11" s="23" t="s">
        <v>22</v>
      </c>
      <c r="K11" s="23" t="s">
        <v>21</v>
      </c>
      <c r="L11" s="23" t="s">
        <v>21</v>
      </c>
      <c r="M11" s="23" t="s">
        <v>23</v>
      </c>
      <c r="N11" s="23" t="s">
        <v>21</v>
      </c>
      <c r="O11" s="23" t="s">
        <v>21</v>
      </c>
      <c r="P11" s="23" t="s">
        <v>24</v>
      </c>
      <c r="Q11" s="23" t="s">
        <v>22</v>
      </c>
      <c r="R11" s="23" t="s">
        <v>21</v>
      </c>
      <c r="S11" s="23" t="s">
        <v>21</v>
      </c>
      <c r="T11" s="23" t="s">
        <v>21</v>
      </c>
      <c r="U11" s="23" t="s">
        <v>21</v>
      </c>
      <c r="V11" s="23" t="s">
        <v>21</v>
      </c>
      <c r="W11" s="23" t="s">
        <v>21</v>
      </c>
      <c r="X11" s="23" t="s">
        <v>22</v>
      </c>
      <c r="Y11" s="23" t="s">
        <v>21</v>
      </c>
      <c r="Z11" s="23" t="s">
        <v>21</v>
      </c>
      <c r="AA11" s="23" t="s">
        <v>23</v>
      </c>
      <c r="AB11" s="23" t="s">
        <v>21</v>
      </c>
      <c r="AC11" s="23" t="s">
        <v>21</v>
      </c>
      <c r="AD11" s="23" t="s">
        <v>21</v>
      </c>
      <c r="AE11" s="23" t="s">
        <v>22</v>
      </c>
      <c r="AF11" s="23" t="s">
        <v>21</v>
      </c>
      <c r="AG11" s="23" t="s">
        <v>21</v>
      </c>
      <c r="AH11" s="24">
        <f t="shared" si="2"/>
        <v>31</v>
      </c>
      <c r="AI11" s="25">
        <f t="shared" si="3"/>
        <v>31</v>
      </c>
      <c r="AJ11" s="24" t="str">
        <f t="shared" si="4"/>
        <v/>
      </c>
      <c r="AK11" s="24">
        <f t="shared" si="5"/>
        <v>3.5</v>
      </c>
      <c r="AL11" s="26">
        <f t="shared" si="6"/>
        <v>5</v>
      </c>
      <c r="AM11" s="27" t="str">
        <f t="shared" si="7"/>
        <v/>
      </c>
      <c r="AN11" s="26" t="str">
        <f t="shared" si="8"/>
        <v/>
      </c>
      <c r="AO11" s="28" t="str">
        <f t="shared" si="9"/>
        <v/>
      </c>
      <c r="AP11" s="29" t="str">
        <f t="shared" si="10"/>
        <v/>
      </c>
      <c r="AQ11" s="29" t="str">
        <f t="shared" si="11"/>
        <v/>
      </c>
      <c r="AR11" s="30">
        <f t="shared" si="12"/>
        <v>31</v>
      </c>
      <c r="AS11" s="30">
        <f t="shared" si="13"/>
        <v>-1</v>
      </c>
    </row>
    <row r="12" ht="15.75" customHeight="1">
      <c r="A12" s="22"/>
      <c r="B12" s="2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4" t="str">
        <f t="shared" si="2"/>
        <v/>
      </c>
      <c r="AI12" s="25">
        <f t="shared" si="3"/>
        <v>31</v>
      </c>
      <c r="AJ12" s="24" t="str">
        <f t="shared" si="4"/>
        <v/>
      </c>
      <c r="AK12" s="24" t="str">
        <f t="shared" si="5"/>
        <v/>
      </c>
      <c r="AL12" s="26" t="str">
        <f t="shared" si="6"/>
        <v/>
      </c>
      <c r="AM12" s="27" t="str">
        <f t="shared" si="7"/>
        <v/>
      </c>
      <c r="AN12" s="26" t="str">
        <f t="shared" si="8"/>
        <v/>
      </c>
      <c r="AO12" s="28" t="str">
        <f t="shared" si="9"/>
        <v/>
      </c>
      <c r="AP12" s="29" t="str">
        <f t="shared" si="10"/>
        <v/>
      </c>
      <c r="AQ12" s="29" t="str">
        <f t="shared" si="11"/>
        <v/>
      </c>
      <c r="AR12" s="30" t="str">
        <f t="shared" si="12"/>
        <v/>
      </c>
      <c r="AS12" s="30" t="str">
        <f t="shared" si="13"/>
        <v/>
      </c>
    </row>
    <row r="13" ht="15.75" customHeight="1">
      <c r="A13" s="22"/>
      <c r="B13" s="2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4" t="str">
        <f t="shared" si="2"/>
        <v/>
      </c>
      <c r="AI13" s="25">
        <f t="shared" si="3"/>
        <v>31</v>
      </c>
      <c r="AJ13" s="24" t="str">
        <f t="shared" si="4"/>
        <v/>
      </c>
      <c r="AK13" s="24" t="str">
        <f t="shared" si="5"/>
        <v/>
      </c>
      <c r="AL13" s="26" t="str">
        <f t="shared" si="6"/>
        <v/>
      </c>
      <c r="AM13" s="27" t="str">
        <f t="shared" si="7"/>
        <v/>
      </c>
      <c r="AN13" s="26" t="str">
        <f t="shared" si="8"/>
        <v/>
      </c>
      <c r="AO13" s="28" t="str">
        <f t="shared" si="9"/>
        <v/>
      </c>
      <c r="AP13" s="29" t="str">
        <f t="shared" si="10"/>
        <v/>
      </c>
      <c r="AQ13" s="29" t="str">
        <f t="shared" si="11"/>
        <v/>
      </c>
      <c r="AR13" s="30" t="str">
        <f t="shared" si="12"/>
        <v/>
      </c>
      <c r="AS13" s="30" t="str">
        <f t="shared" si="13"/>
        <v/>
      </c>
    </row>
    <row r="14" ht="15.75" customHeight="1">
      <c r="A14" s="33"/>
      <c r="B14" s="33"/>
      <c r="C14" s="32"/>
      <c r="D14" s="32"/>
      <c r="E14" s="32"/>
      <c r="F14" s="32"/>
      <c r="G14" s="32"/>
      <c r="H14" s="32"/>
      <c r="I14" s="32"/>
      <c r="J14" s="23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23"/>
      <c r="Z14" s="32"/>
      <c r="AA14" s="32"/>
      <c r="AB14" s="32"/>
      <c r="AC14" s="32"/>
      <c r="AD14" s="32"/>
      <c r="AE14" s="32"/>
      <c r="AF14" s="32"/>
      <c r="AG14" s="32"/>
      <c r="AH14" s="24" t="str">
        <f t="shared" si="2"/>
        <v/>
      </c>
      <c r="AI14" s="25">
        <f t="shared" si="3"/>
        <v>31</v>
      </c>
      <c r="AJ14" s="24" t="str">
        <f t="shared" si="4"/>
        <v/>
      </c>
      <c r="AK14" s="24" t="str">
        <f t="shared" si="5"/>
        <v/>
      </c>
      <c r="AL14" s="26" t="str">
        <f t="shared" si="6"/>
        <v/>
      </c>
      <c r="AM14" s="27" t="str">
        <f t="shared" si="7"/>
        <v/>
      </c>
      <c r="AN14" s="26" t="str">
        <f t="shared" si="8"/>
        <v/>
      </c>
      <c r="AO14" s="28" t="str">
        <f t="shared" si="9"/>
        <v/>
      </c>
      <c r="AP14" s="29" t="str">
        <f t="shared" si="10"/>
        <v/>
      </c>
      <c r="AQ14" s="29" t="str">
        <f t="shared" si="11"/>
        <v/>
      </c>
      <c r="AR14" s="30" t="str">
        <f t="shared" si="12"/>
        <v/>
      </c>
      <c r="AS14" s="30" t="str">
        <f t="shared" si="13"/>
        <v/>
      </c>
    </row>
    <row r="15" ht="15.75" customHeight="1">
      <c r="A15" s="33"/>
      <c r="B15" s="33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24" t="str">
        <f t="shared" si="2"/>
        <v/>
      </c>
      <c r="AI15" s="25">
        <f t="shared" si="3"/>
        <v>31</v>
      </c>
      <c r="AJ15" s="24" t="str">
        <f t="shared" si="4"/>
        <v/>
      </c>
      <c r="AK15" s="24" t="str">
        <f t="shared" si="5"/>
        <v/>
      </c>
      <c r="AL15" s="26" t="str">
        <f t="shared" si="6"/>
        <v/>
      </c>
      <c r="AM15" s="27" t="str">
        <f t="shared" si="7"/>
        <v/>
      </c>
      <c r="AN15" s="26" t="str">
        <f t="shared" si="8"/>
        <v/>
      </c>
      <c r="AO15" s="28" t="str">
        <f t="shared" si="9"/>
        <v/>
      </c>
      <c r="AP15" s="29" t="str">
        <f t="shared" si="10"/>
        <v/>
      </c>
      <c r="AQ15" s="29" t="str">
        <f t="shared" si="11"/>
        <v/>
      </c>
      <c r="AR15" s="30" t="str">
        <f t="shared" si="12"/>
        <v/>
      </c>
      <c r="AS15" s="30" t="str">
        <f t="shared" si="13"/>
        <v/>
      </c>
    </row>
    <row r="16" ht="15.75" customHeight="1">
      <c r="A16" s="33"/>
      <c r="B16" s="34"/>
      <c r="C16" s="32"/>
      <c r="D16" s="2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24" t="str">
        <f t="shared" si="2"/>
        <v/>
      </c>
      <c r="AI16" s="25">
        <f t="shared" si="3"/>
        <v>31</v>
      </c>
      <c r="AJ16" s="24" t="str">
        <f t="shared" si="4"/>
        <v/>
      </c>
      <c r="AK16" s="24" t="str">
        <f t="shared" si="5"/>
        <v/>
      </c>
      <c r="AL16" s="26" t="str">
        <f t="shared" si="6"/>
        <v/>
      </c>
      <c r="AM16" s="27" t="str">
        <f t="shared" si="7"/>
        <v/>
      </c>
      <c r="AN16" s="26" t="str">
        <f t="shared" si="8"/>
        <v/>
      </c>
      <c r="AO16" s="28" t="str">
        <f t="shared" si="9"/>
        <v/>
      </c>
      <c r="AP16" s="29" t="str">
        <f t="shared" si="10"/>
        <v/>
      </c>
      <c r="AQ16" s="29" t="str">
        <f t="shared" si="11"/>
        <v/>
      </c>
      <c r="AR16" s="30" t="str">
        <f t="shared" si="12"/>
        <v/>
      </c>
      <c r="AS16" s="30" t="str">
        <f t="shared" si="13"/>
        <v/>
      </c>
    </row>
    <row r="17" ht="15.75" customHeight="1">
      <c r="A17" s="33"/>
      <c r="B17" s="33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24" t="str">
        <f t="shared" si="2"/>
        <v/>
      </c>
      <c r="AI17" s="25">
        <f t="shared" si="3"/>
        <v>31</v>
      </c>
      <c r="AJ17" s="24" t="str">
        <f t="shared" si="4"/>
        <v/>
      </c>
      <c r="AK17" s="24" t="str">
        <f t="shared" si="5"/>
        <v/>
      </c>
      <c r="AL17" s="26" t="str">
        <f t="shared" si="6"/>
        <v/>
      </c>
      <c r="AM17" s="27" t="str">
        <f t="shared" si="7"/>
        <v/>
      </c>
      <c r="AN17" s="26" t="str">
        <f t="shared" si="8"/>
        <v/>
      </c>
      <c r="AO17" s="28" t="str">
        <f t="shared" si="9"/>
        <v/>
      </c>
      <c r="AP17" s="29" t="str">
        <f t="shared" si="10"/>
        <v/>
      </c>
      <c r="AQ17" s="29" t="str">
        <f t="shared" si="11"/>
        <v/>
      </c>
      <c r="AR17" s="30" t="str">
        <f t="shared" si="12"/>
        <v/>
      </c>
      <c r="AS17" s="30" t="str">
        <f t="shared" si="13"/>
        <v/>
      </c>
    </row>
    <row r="18" ht="15.75" customHeight="1">
      <c r="A18" s="33"/>
      <c r="B18" s="33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24" t="str">
        <f t="shared" si="2"/>
        <v/>
      </c>
      <c r="AI18" s="25">
        <f t="shared" si="3"/>
        <v>31</v>
      </c>
      <c r="AJ18" s="24" t="str">
        <f t="shared" si="4"/>
        <v/>
      </c>
      <c r="AK18" s="24" t="str">
        <f t="shared" si="5"/>
        <v/>
      </c>
      <c r="AL18" s="26" t="str">
        <f t="shared" si="6"/>
        <v/>
      </c>
      <c r="AM18" s="27" t="str">
        <f t="shared" si="7"/>
        <v/>
      </c>
      <c r="AN18" s="26" t="str">
        <f t="shared" si="8"/>
        <v/>
      </c>
      <c r="AO18" s="28" t="str">
        <f t="shared" si="9"/>
        <v/>
      </c>
      <c r="AP18" s="29" t="str">
        <f t="shared" si="10"/>
        <v/>
      </c>
      <c r="AQ18" s="29" t="str">
        <f t="shared" si="11"/>
        <v/>
      </c>
      <c r="AR18" s="30" t="str">
        <f t="shared" si="12"/>
        <v/>
      </c>
      <c r="AS18" s="30" t="str">
        <f t="shared" si="13"/>
        <v/>
      </c>
    </row>
    <row r="19" ht="15.75" customHeight="1">
      <c r="A19" s="33"/>
      <c r="B19" s="33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24" t="str">
        <f t="shared" si="2"/>
        <v/>
      </c>
      <c r="AI19" s="25">
        <f t="shared" si="3"/>
        <v>31</v>
      </c>
      <c r="AJ19" s="24" t="str">
        <f t="shared" si="4"/>
        <v/>
      </c>
      <c r="AK19" s="24" t="str">
        <f t="shared" si="5"/>
        <v/>
      </c>
      <c r="AL19" s="26" t="str">
        <f t="shared" si="6"/>
        <v/>
      </c>
      <c r="AM19" s="27" t="str">
        <f t="shared" si="7"/>
        <v/>
      </c>
      <c r="AN19" s="26" t="str">
        <f t="shared" si="8"/>
        <v/>
      </c>
      <c r="AO19" s="28" t="str">
        <f t="shared" si="9"/>
        <v/>
      </c>
      <c r="AP19" s="29" t="str">
        <f t="shared" si="10"/>
        <v/>
      </c>
      <c r="AQ19" s="29" t="str">
        <f t="shared" si="11"/>
        <v/>
      </c>
      <c r="AR19" s="30" t="str">
        <f t="shared" si="12"/>
        <v/>
      </c>
      <c r="AS19" s="30" t="str">
        <f t="shared" si="13"/>
        <v/>
      </c>
    </row>
    <row r="20" ht="15.75" customHeight="1">
      <c r="A20" s="33"/>
      <c r="B20" s="33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24" t="str">
        <f t="shared" si="2"/>
        <v/>
      </c>
      <c r="AI20" s="25">
        <f t="shared" si="3"/>
        <v>31</v>
      </c>
      <c r="AJ20" s="24" t="str">
        <f t="shared" si="4"/>
        <v/>
      </c>
      <c r="AK20" s="24" t="str">
        <f t="shared" si="5"/>
        <v/>
      </c>
      <c r="AL20" s="26" t="str">
        <f t="shared" si="6"/>
        <v/>
      </c>
      <c r="AM20" s="27" t="str">
        <f t="shared" si="7"/>
        <v/>
      </c>
      <c r="AN20" s="26" t="str">
        <f t="shared" si="8"/>
        <v/>
      </c>
      <c r="AO20" s="28" t="str">
        <f t="shared" si="9"/>
        <v/>
      </c>
      <c r="AP20" s="29" t="str">
        <f t="shared" si="10"/>
        <v/>
      </c>
      <c r="AQ20" s="29" t="str">
        <f t="shared" si="11"/>
        <v/>
      </c>
      <c r="AR20" s="30" t="str">
        <f t="shared" si="12"/>
        <v/>
      </c>
      <c r="AS20" s="30" t="str">
        <f t="shared" si="13"/>
        <v/>
      </c>
    </row>
    <row r="21" ht="15.75" customHeight="1">
      <c r="A21" s="33"/>
      <c r="B21" s="33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5"/>
      <c r="W21" s="35"/>
      <c r="X21" s="35"/>
      <c r="Y21" s="35"/>
      <c r="Z21" s="35"/>
      <c r="AA21" s="32"/>
      <c r="AB21" s="32"/>
      <c r="AC21" s="32"/>
      <c r="AD21" s="32"/>
      <c r="AE21" s="32"/>
      <c r="AF21" s="32"/>
      <c r="AG21" s="32"/>
      <c r="AH21" s="24" t="str">
        <f t="shared" si="2"/>
        <v/>
      </c>
      <c r="AI21" s="25">
        <f t="shared" si="3"/>
        <v>31</v>
      </c>
      <c r="AJ21" s="24" t="str">
        <f t="shared" si="4"/>
        <v/>
      </c>
      <c r="AK21" s="24" t="str">
        <f t="shared" si="5"/>
        <v/>
      </c>
      <c r="AL21" s="26" t="str">
        <f t="shared" si="6"/>
        <v/>
      </c>
      <c r="AM21" s="27" t="str">
        <f t="shared" si="7"/>
        <v/>
      </c>
      <c r="AN21" s="26" t="str">
        <f t="shared" si="8"/>
        <v/>
      </c>
      <c r="AO21" s="28" t="str">
        <f t="shared" si="9"/>
        <v/>
      </c>
      <c r="AP21" s="29" t="str">
        <f t="shared" si="10"/>
        <v/>
      </c>
      <c r="AQ21" s="29" t="str">
        <f t="shared" si="11"/>
        <v/>
      </c>
      <c r="AR21" s="30" t="str">
        <f t="shared" si="12"/>
        <v/>
      </c>
      <c r="AS21" s="30" t="str">
        <f t="shared" si="13"/>
        <v/>
      </c>
    </row>
    <row r="22" ht="15.75" customHeight="1">
      <c r="A22" s="33"/>
      <c r="B22" s="33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5"/>
      <c r="W22" s="35"/>
      <c r="X22" s="35"/>
      <c r="Y22" s="35"/>
      <c r="Z22" s="35"/>
      <c r="AA22" s="32"/>
      <c r="AB22" s="32"/>
      <c r="AC22" s="32"/>
      <c r="AD22" s="32"/>
      <c r="AE22" s="32"/>
      <c r="AF22" s="32"/>
      <c r="AG22" s="32"/>
      <c r="AH22" s="24" t="str">
        <f t="shared" si="2"/>
        <v/>
      </c>
      <c r="AI22" s="25">
        <f t="shared" si="3"/>
        <v>31</v>
      </c>
      <c r="AJ22" s="24" t="str">
        <f t="shared" si="4"/>
        <v/>
      </c>
      <c r="AK22" s="24" t="str">
        <f t="shared" si="5"/>
        <v/>
      </c>
      <c r="AL22" s="26" t="str">
        <f t="shared" si="6"/>
        <v/>
      </c>
      <c r="AM22" s="27" t="str">
        <f t="shared" si="7"/>
        <v/>
      </c>
      <c r="AN22" s="26" t="str">
        <f t="shared" si="8"/>
        <v/>
      </c>
      <c r="AO22" s="28" t="str">
        <f t="shared" si="9"/>
        <v/>
      </c>
      <c r="AP22" s="29" t="str">
        <f t="shared" si="10"/>
        <v/>
      </c>
      <c r="AQ22" s="29" t="str">
        <f t="shared" si="11"/>
        <v/>
      </c>
      <c r="AR22" s="30" t="str">
        <f t="shared" si="12"/>
        <v/>
      </c>
      <c r="AS22" s="30" t="str">
        <f t="shared" si="13"/>
        <v/>
      </c>
    </row>
    <row r="23" ht="15.75" customHeight="1">
      <c r="A23" s="36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5"/>
      <c r="W23" s="35"/>
      <c r="X23" s="35"/>
      <c r="Y23" s="35"/>
      <c r="Z23" s="35"/>
      <c r="AA23" s="32"/>
      <c r="AB23" s="32"/>
      <c r="AC23" s="32"/>
      <c r="AD23" s="32"/>
      <c r="AE23" s="32"/>
      <c r="AF23" s="32"/>
      <c r="AG23" s="32"/>
      <c r="AH23" s="24" t="str">
        <f t="shared" si="2"/>
        <v/>
      </c>
      <c r="AI23" s="25">
        <f t="shared" si="3"/>
        <v>31</v>
      </c>
      <c r="AJ23" s="24" t="str">
        <f t="shared" si="4"/>
        <v/>
      </c>
      <c r="AK23" s="24" t="str">
        <f t="shared" si="5"/>
        <v/>
      </c>
      <c r="AL23" s="26" t="str">
        <f t="shared" si="6"/>
        <v/>
      </c>
      <c r="AM23" s="27" t="str">
        <f t="shared" si="7"/>
        <v/>
      </c>
      <c r="AN23" s="26" t="str">
        <f t="shared" si="8"/>
        <v/>
      </c>
      <c r="AO23" s="28" t="str">
        <f t="shared" si="9"/>
        <v/>
      </c>
      <c r="AP23" s="29" t="str">
        <f t="shared" si="10"/>
        <v/>
      </c>
      <c r="AQ23" s="29" t="str">
        <f t="shared" si="11"/>
        <v/>
      </c>
      <c r="AR23" s="30" t="str">
        <f t="shared" si="12"/>
        <v/>
      </c>
      <c r="AS23" s="30" t="str">
        <f t="shared" si="13"/>
        <v/>
      </c>
    </row>
    <row r="24" ht="15.75" customHeight="1">
      <c r="A24" s="36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5"/>
      <c r="W24" s="35"/>
      <c r="X24" s="35"/>
      <c r="Y24" s="35"/>
      <c r="Z24" s="35"/>
      <c r="AA24" s="32"/>
      <c r="AB24" s="32"/>
      <c r="AC24" s="32"/>
      <c r="AD24" s="32"/>
      <c r="AE24" s="32"/>
      <c r="AF24" s="32"/>
      <c r="AG24" s="32"/>
      <c r="AH24" s="24" t="str">
        <f t="shared" si="2"/>
        <v/>
      </c>
      <c r="AI24" s="25">
        <f t="shared" si="3"/>
        <v>31</v>
      </c>
      <c r="AJ24" s="24" t="str">
        <f t="shared" si="4"/>
        <v/>
      </c>
      <c r="AK24" s="24" t="str">
        <f t="shared" si="5"/>
        <v/>
      </c>
      <c r="AL24" s="26" t="str">
        <f t="shared" si="6"/>
        <v/>
      </c>
      <c r="AM24" s="27" t="str">
        <f t="shared" si="7"/>
        <v/>
      </c>
      <c r="AN24" s="26" t="str">
        <f t="shared" si="8"/>
        <v/>
      </c>
      <c r="AO24" s="28" t="str">
        <f t="shared" si="9"/>
        <v/>
      </c>
      <c r="AP24" s="29" t="str">
        <f t="shared" si="10"/>
        <v/>
      </c>
      <c r="AQ24" s="29" t="str">
        <f t="shared" si="11"/>
        <v/>
      </c>
      <c r="AR24" s="30" t="str">
        <f t="shared" si="12"/>
        <v/>
      </c>
      <c r="AS24" s="30" t="str">
        <f t="shared" si="13"/>
        <v/>
      </c>
    </row>
    <row r="25" ht="15.75" customHeight="1">
      <c r="A25" s="36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5"/>
      <c r="W25" s="35"/>
      <c r="X25" s="35"/>
      <c r="Y25" s="35"/>
      <c r="Z25" s="35"/>
      <c r="AA25" s="32"/>
      <c r="AB25" s="32"/>
      <c r="AC25" s="32"/>
      <c r="AD25" s="32"/>
      <c r="AE25" s="32"/>
      <c r="AF25" s="32"/>
      <c r="AG25" s="32"/>
      <c r="AH25" s="24" t="str">
        <f t="shared" si="2"/>
        <v/>
      </c>
      <c r="AI25" s="25">
        <f t="shared" si="3"/>
        <v>31</v>
      </c>
      <c r="AJ25" s="24" t="str">
        <f t="shared" si="4"/>
        <v/>
      </c>
      <c r="AK25" s="24" t="str">
        <f t="shared" si="5"/>
        <v/>
      </c>
      <c r="AL25" s="26" t="str">
        <f t="shared" si="6"/>
        <v/>
      </c>
      <c r="AM25" s="27" t="str">
        <f t="shared" si="7"/>
        <v/>
      </c>
      <c r="AN25" s="26" t="str">
        <f t="shared" si="8"/>
        <v/>
      </c>
      <c r="AO25" s="28" t="str">
        <f t="shared" si="9"/>
        <v/>
      </c>
      <c r="AP25" s="29" t="str">
        <f t="shared" si="10"/>
        <v/>
      </c>
      <c r="AQ25" s="29" t="str">
        <f t="shared" si="11"/>
        <v/>
      </c>
      <c r="AR25" s="30" t="str">
        <f t="shared" si="12"/>
        <v/>
      </c>
      <c r="AS25" s="30" t="str">
        <f t="shared" si="13"/>
        <v/>
      </c>
    </row>
    <row r="26" ht="15.75" customHeight="1">
      <c r="A26" s="36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5"/>
      <c r="W26" s="35"/>
      <c r="X26" s="35"/>
      <c r="Y26" s="35"/>
      <c r="Z26" s="35"/>
      <c r="AA26" s="32"/>
      <c r="AB26" s="32"/>
      <c r="AC26" s="32"/>
      <c r="AD26" s="32"/>
      <c r="AE26" s="32"/>
      <c r="AF26" s="32"/>
      <c r="AG26" s="32"/>
      <c r="AH26" s="24" t="str">
        <f t="shared" si="2"/>
        <v/>
      </c>
      <c r="AI26" s="25">
        <f t="shared" si="3"/>
        <v>31</v>
      </c>
      <c r="AJ26" s="24" t="str">
        <f t="shared" si="4"/>
        <v/>
      </c>
      <c r="AK26" s="24" t="str">
        <f t="shared" si="5"/>
        <v/>
      </c>
      <c r="AL26" s="26" t="str">
        <f t="shared" si="6"/>
        <v/>
      </c>
      <c r="AM26" s="27" t="str">
        <f t="shared" si="7"/>
        <v/>
      </c>
      <c r="AN26" s="26" t="str">
        <f t="shared" si="8"/>
        <v/>
      </c>
      <c r="AO26" s="28" t="str">
        <f t="shared" si="9"/>
        <v/>
      </c>
      <c r="AP26" s="29" t="str">
        <f t="shared" si="10"/>
        <v/>
      </c>
      <c r="AQ26" s="29" t="str">
        <f t="shared" si="11"/>
        <v/>
      </c>
      <c r="AR26" s="30" t="str">
        <f t="shared" si="12"/>
        <v/>
      </c>
      <c r="AS26" s="30" t="str">
        <f t="shared" si="13"/>
        <v/>
      </c>
    </row>
    <row r="27" ht="15.75" customHeight="1">
      <c r="A27" s="37"/>
      <c r="B27" s="23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24" t="str">
        <f t="shared" si="2"/>
        <v/>
      </c>
      <c r="AI27" s="25">
        <f t="shared" si="3"/>
        <v>31</v>
      </c>
      <c r="AJ27" s="24" t="str">
        <f t="shared" si="4"/>
        <v/>
      </c>
      <c r="AK27" s="24" t="str">
        <f t="shared" si="5"/>
        <v/>
      </c>
      <c r="AL27" s="26" t="str">
        <f t="shared" si="6"/>
        <v/>
      </c>
      <c r="AM27" s="27" t="str">
        <f t="shared" si="7"/>
        <v/>
      </c>
      <c r="AN27" s="26" t="str">
        <f t="shared" si="8"/>
        <v/>
      </c>
      <c r="AO27" s="28" t="str">
        <f t="shared" si="9"/>
        <v/>
      </c>
      <c r="AP27" s="29" t="str">
        <f t="shared" si="10"/>
        <v/>
      </c>
      <c r="AQ27" s="29" t="str">
        <f t="shared" si="11"/>
        <v/>
      </c>
      <c r="AR27" s="30" t="str">
        <f t="shared" si="12"/>
        <v/>
      </c>
      <c r="AS27" s="30" t="str">
        <f t="shared" si="13"/>
        <v/>
      </c>
    </row>
    <row r="28" ht="15.75" customHeight="1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ht="15.75" customHeight="1">
      <c r="A29" s="39" t="s">
        <v>29</v>
      </c>
      <c r="B29" s="40" t="s">
        <v>30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ht="15.75" customHeight="1">
      <c r="A30" s="42">
        <v>1.0</v>
      </c>
      <c r="B30" s="43" t="s">
        <v>31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44"/>
      <c r="AD30" s="38"/>
      <c r="AE30" s="38"/>
      <c r="AF30" s="38"/>
    </row>
    <row r="31" ht="15.75" customHeight="1">
      <c r="A31" s="42">
        <v>2.0</v>
      </c>
      <c r="B31" s="4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ht="15.75" customHeight="1">
      <c r="A32" s="42">
        <v>3.0</v>
      </c>
      <c r="B32" s="4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 t="s">
        <v>32</v>
      </c>
    </row>
    <row r="33" ht="15.75" customHeight="1">
      <c r="A33" s="46">
        <v>4.0</v>
      </c>
      <c r="B33" s="46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34" ht="15.75" customHeight="1">
      <c r="A34" s="46">
        <v>5.0</v>
      </c>
      <c r="B34" s="46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ht="15.75" customHeight="1">
      <c r="A35" s="46">
        <v>6.0</v>
      </c>
      <c r="D35" s="41"/>
      <c r="E35" s="41"/>
      <c r="F35" s="41"/>
      <c r="G35" s="47">
        <f>DAY(EOMONTH(B2,0))</f>
        <v>31</v>
      </c>
      <c r="H35" s="48">
        <f>IF(G35=31, 30, IF(G35=30, 29, 27))</f>
        <v>30</v>
      </c>
      <c r="I35" s="41"/>
      <c r="J35" s="41"/>
      <c r="K35" s="41"/>
      <c r="L35" s="41"/>
      <c r="M35" s="41"/>
      <c r="N35" s="41"/>
      <c r="O35" s="41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ht="15.75" customHeight="1">
      <c r="A36" s="41"/>
      <c r="B36" s="49" t="s">
        <v>33</v>
      </c>
      <c r="C36" s="10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ht="15.75" customHeight="1">
      <c r="A37" s="41"/>
      <c r="B37" s="50"/>
      <c r="C37" s="18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ht="15.75" customHeight="1">
      <c r="B38" s="19"/>
      <c r="C38" s="4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ht="15.75" customHeight="1"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ht="15.75" customHeight="1"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ht="15.75" customHeight="1"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ht="15.75" customHeight="1"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ht="15.75" customHeight="1"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ht="15.75" customHeight="1"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ht="15.75" customHeight="1"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ht="15.75" customHeight="1"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ht="15.75" customHeight="1"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ht="15.75" customHeight="1"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ht="15.75" customHeight="1"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ht="15.75" customHeight="1"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ht="15.75" customHeight="1"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ht="15.75" customHeight="1"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ht="15.75" customHeight="1"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ht="15.75" customHeight="1"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ht="15.75" customHeight="1"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ht="15.75" customHeight="1"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ht="15.75" customHeight="1"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ht="15.75" customHeight="1"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ht="15.75" customHeight="1"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ht="15.75" customHeight="1"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ht="15.75" customHeight="1"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ht="15.75" customHeight="1"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ht="15.75" customHeight="1"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ht="15.75" customHeight="1"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ht="15.75" customHeight="1"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</row>
    <row r="66" ht="15.75" customHeight="1"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</row>
    <row r="67" ht="15.75" customHeight="1"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</row>
    <row r="68" ht="15.75" customHeight="1"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</row>
    <row r="69" ht="15.75" customHeight="1"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</row>
    <row r="70" ht="15.75" customHeight="1"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</row>
    <row r="71" ht="15.75" customHeight="1"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</row>
    <row r="72" ht="15.75" customHeight="1"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</row>
    <row r="73" ht="15.75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</row>
    <row r="74" ht="15.75" customHeight="1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</row>
    <row r="75" ht="15.75" customHeight="1"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</row>
    <row r="76" ht="15.75" customHeight="1"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</row>
    <row r="77" ht="15.75" customHeight="1"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</row>
    <row r="78" ht="15.75" customHeight="1"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</row>
    <row r="79" ht="15.75" customHeight="1"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</row>
    <row r="80" ht="15.75" customHeight="1"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</row>
    <row r="81" ht="15.75" customHeight="1"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</row>
    <row r="82" ht="15.75" customHeight="1"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</row>
    <row r="83" ht="15.75" customHeight="1"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</row>
    <row r="84" ht="15.75" customHeight="1"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</row>
    <row r="85" ht="15.75" customHeight="1"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</row>
    <row r="86" ht="15.75" customHeight="1"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</row>
    <row r="87" ht="15.75" customHeight="1"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</row>
    <row r="88" ht="15.75" customHeight="1"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</row>
    <row r="89" ht="15.75" customHeight="1"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</row>
    <row r="90" ht="15.75" customHeight="1"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</row>
    <row r="91" ht="15.75" customHeight="1"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</row>
    <row r="92" ht="15.75" customHeight="1"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</row>
    <row r="93" ht="15.75" customHeight="1"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</row>
    <row r="94" ht="15.75" customHeight="1"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</row>
    <row r="95" ht="15.75" customHeight="1"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</row>
    <row r="96" ht="15.75" customHeight="1"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</row>
    <row r="97" ht="15.75" customHeight="1"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</row>
    <row r="98" ht="15.75" customHeight="1"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</row>
    <row r="99" ht="15.75" customHeight="1"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</row>
    <row r="100" ht="15.75" customHeight="1"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</row>
    <row r="101" ht="15.75" customHeight="1"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</row>
    <row r="102" ht="15.75" customHeight="1"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</row>
    <row r="103" ht="15.75" customHeight="1"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</row>
    <row r="104" ht="15.75" customHeight="1"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</row>
    <row r="105" ht="15.75" customHeight="1"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</row>
    <row r="106" ht="15.75" customHeight="1"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</row>
    <row r="107" ht="15.75" customHeight="1"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</row>
    <row r="108" ht="15.75" customHeight="1"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</row>
    <row r="109" ht="15.75" customHeight="1"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</row>
    <row r="110" ht="15.75" customHeight="1"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</row>
    <row r="111" ht="15.75" customHeight="1"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</row>
    <row r="112" ht="15.75" customHeight="1"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</row>
    <row r="113" ht="15.75" customHeight="1"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</row>
    <row r="114" ht="15.75" customHeight="1"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</row>
    <row r="115" ht="15.75" customHeight="1"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</row>
    <row r="116" ht="15.75" customHeight="1"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</row>
    <row r="117" ht="15.75" customHeight="1"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</row>
    <row r="118" ht="15.75" customHeight="1"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</row>
    <row r="119" ht="15.75" customHeight="1"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</row>
    <row r="120" ht="15.75" customHeight="1"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</row>
    <row r="121" ht="15.75" customHeight="1"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</row>
    <row r="122" ht="15.75" customHeight="1"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</row>
    <row r="123" ht="15.75" customHeight="1"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</row>
    <row r="124" ht="15.75" customHeight="1"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</row>
    <row r="125" ht="15.75" customHeight="1"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</row>
    <row r="126" ht="15.75" customHeight="1"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</row>
    <row r="127" ht="15.75" customHeight="1"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</row>
    <row r="128" ht="15.75" customHeight="1"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</row>
    <row r="129" ht="15.75" customHeight="1"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</row>
    <row r="130" ht="15.75" customHeight="1"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</row>
    <row r="131" ht="15.75" customHeight="1"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</row>
    <row r="132" ht="15.75" customHeight="1"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</row>
    <row r="133" ht="15.75" customHeight="1"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</row>
    <row r="134" ht="15.75" customHeight="1"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</row>
    <row r="135" ht="15.75" customHeight="1"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</row>
    <row r="136" ht="15.75" customHeight="1"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</row>
    <row r="137" ht="15.75" customHeight="1"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</row>
    <row r="138" ht="15.75" customHeight="1"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</row>
    <row r="139" ht="15.75" customHeight="1"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</row>
    <row r="140" ht="15.75" customHeight="1"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</row>
    <row r="141" ht="15.75" customHeight="1"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</row>
    <row r="142" ht="15.75" customHeight="1"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</row>
    <row r="143" ht="15.75" customHeight="1"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</row>
    <row r="144" ht="15.75" customHeight="1"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</row>
    <row r="145" ht="15.75" customHeight="1"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</row>
    <row r="146" ht="15.75" customHeight="1"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</row>
    <row r="147" ht="15.75" customHeight="1"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</row>
    <row r="148" ht="15.75" customHeight="1"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</row>
    <row r="149" ht="15.75" customHeight="1"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</row>
    <row r="150" ht="15.75" customHeight="1"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</row>
    <row r="151" ht="15.75" customHeight="1"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</row>
    <row r="152" ht="15.75" customHeight="1"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</row>
    <row r="153" ht="15.75" customHeight="1"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</row>
    <row r="154" ht="15.75" customHeight="1"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</row>
    <row r="155" ht="15.75" customHeight="1"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</row>
    <row r="156" ht="15.75" customHeight="1"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</row>
    <row r="157" ht="15.75" customHeight="1"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</row>
    <row r="158" ht="15.75" customHeight="1"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</row>
    <row r="159" ht="15.75" customHeight="1"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</row>
    <row r="160" ht="15.75" customHeight="1"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</row>
    <row r="161" ht="15.75" customHeight="1"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</row>
    <row r="162" ht="15.75" customHeight="1"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</row>
    <row r="163" ht="15.75" customHeight="1"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</row>
    <row r="164" ht="15.75" customHeight="1"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</row>
    <row r="165" ht="15.75" customHeight="1"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</row>
    <row r="166" ht="15.75" customHeight="1"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</row>
    <row r="167" ht="15.75" customHeight="1"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</row>
    <row r="168" ht="15.75" customHeight="1"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</row>
    <row r="169" ht="15.75" customHeight="1"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</row>
    <row r="170" ht="15.75" customHeight="1"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</row>
    <row r="171" ht="15.75" customHeight="1"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</row>
    <row r="172" ht="15.75" customHeight="1"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</row>
    <row r="173" ht="15.75" customHeight="1"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</row>
    <row r="174" ht="15.75" customHeight="1"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</row>
    <row r="175" ht="15.75" customHeight="1"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</row>
    <row r="176" ht="15.75" customHeight="1"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</row>
    <row r="177" ht="15.75" customHeight="1"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</row>
    <row r="178" ht="15.75" customHeight="1"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</row>
    <row r="179" ht="15.75" customHeight="1"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</row>
    <row r="180" ht="15.75" customHeight="1"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</row>
    <row r="181" ht="15.75" customHeight="1"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</row>
    <row r="182" ht="15.75" customHeight="1"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</row>
    <row r="183" ht="15.75" customHeight="1"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</row>
    <row r="184" ht="15.75" customHeight="1"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</row>
    <row r="185" ht="15.75" customHeight="1"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</row>
    <row r="186" ht="15.75" customHeight="1"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</row>
    <row r="187" ht="15.75" customHeight="1"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</row>
    <row r="188" ht="15.75" customHeight="1"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</row>
    <row r="189" ht="15.75" customHeight="1"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</row>
    <row r="190" ht="15.75" customHeight="1"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</row>
    <row r="191" ht="15.75" customHeight="1"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</row>
    <row r="192" ht="15.75" customHeight="1"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</row>
    <row r="193" ht="15.75" customHeight="1"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</row>
    <row r="194" ht="15.75" customHeight="1"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</row>
    <row r="195" ht="15.75" customHeight="1"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</row>
    <row r="196" ht="15.75" customHeight="1"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</row>
    <row r="197" ht="15.75" customHeight="1"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</row>
    <row r="198" ht="15.75" customHeight="1"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</row>
    <row r="199" ht="15.75" customHeight="1"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</row>
    <row r="200" ht="15.75" customHeight="1"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</row>
    <row r="201" ht="15.75" customHeight="1"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</row>
    <row r="202" ht="15.75" customHeight="1"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</row>
    <row r="203" ht="15.75" customHeight="1"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</row>
    <row r="204" ht="15.75" customHeight="1"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</row>
    <row r="205" ht="15.75" customHeight="1"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</row>
    <row r="206" ht="15.75" customHeight="1"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</row>
    <row r="207" ht="15.75" customHeight="1"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</row>
    <row r="208" ht="15.75" customHeight="1"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</row>
    <row r="209" ht="15.75" customHeight="1"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</row>
    <row r="210" ht="15.75" customHeight="1"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</row>
    <row r="211" ht="15.75" customHeight="1"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</row>
    <row r="212" ht="15.75" customHeight="1"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</row>
    <row r="213" ht="15.75" customHeight="1"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</row>
    <row r="214" ht="15.75" customHeight="1"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</row>
    <row r="215" ht="15.75" customHeight="1"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</row>
    <row r="216" ht="15.75" customHeight="1"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</row>
    <row r="217" ht="15.75" customHeight="1"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</row>
    <row r="218" ht="15.75" customHeight="1"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</row>
    <row r="219" ht="15.75" customHeight="1"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</row>
    <row r="220" ht="15.75" customHeight="1"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</row>
    <row r="221" ht="15.75" customHeight="1"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</row>
    <row r="222" ht="15.75" customHeight="1"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</row>
    <row r="223" ht="15.75" customHeight="1"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</row>
    <row r="224" ht="15.75" customHeight="1"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</row>
    <row r="225" ht="15.75" customHeight="1"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</row>
    <row r="226" ht="15.75" customHeight="1"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</row>
    <row r="227" ht="15.75" customHeight="1"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</row>
    <row r="228" ht="15.75" customHeight="1"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</row>
    <row r="229" ht="15.75" customHeight="1"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</row>
    <row r="230" ht="15.75" customHeight="1"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</row>
    <row r="231" ht="15.75" customHeight="1"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</row>
    <row r="232" ht="15.75" customHeight="1"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</row>
    <row r="233" ht="15.75" customHeight="1"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</row>
    <row r="234" ht="15.75" customHeight="1"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ht="15.75" customHeight="1"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</row>
    <row r="236" ht="15.75" customHeight="1"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AL2:AL6"/>
    <mergeCell ref="AM2:AM6"/>
    <mergeCell ref="AN2:AN6"/>
    <mergeCell ref="AO2:AO6"/>
    <mergeCell ref="AR2:AR6"/>
    <mergeCell ref="AS2:AS6"/>
    <mergeCell ref="C3:C6"/>
    <mergeCell ref="D3:D6"/>
    <mergeCell ref="E3:E6"/>
    <mergeCell ref="F3:F6"/>
    <mergeCell ref="G3:G6"/>
    <mergeCell ref="H3:H6"/>
    <mergeCell ref="AD3:AD6"/>
    <mergeCell ref="AE3:AE6"/>
    <mergeCell ref="AF3:AF6"/>
    <mergeCell ref="AG3:AG6"/>
    <mergeCell ref="I3:I6"/>
    <mergeCell ref="J3:J6"/>
    <mergeCell ref="Y3:Y6"/>
    <mergeCell ref="Z3:Z6"/>
    <mergeCell ref="AA3:AA6"/>
    <mergeCell ref="AB3:AB6"/>
    <mergeCell ref="AC3:AC6"/>
    <mergeCell ref="AP2:AP6"/>
    <mergeCell ref="AQ2:AQ6"/>
    <mergeCell ref="A1:B1"/>
    <mergeCell ref="C1:AR1"/>
    <mergeCell ref="C2:AG2"/>
    <mergeCell ref="AH2:AH6"/>
    <mergeCell ref="AI2:AI6"/>
    <mergeCell ref="AJ2:AJ6"/>
    <mergeCell ref="AK2:AK6"/>
    <mergeCell ref="A4:B5"/>
    <mergeCell ref="K3:K6"/>
    <mergeCell ref="L3:L6"/>
    <mergeCell ref="M3:M6"/>
    <mergeCell ref="N3:N6"/>
    <mergeCell ref="B30:O30"/>
    <mergeCell ref="B31:O31"/>
    <mergeCell ref="B32:O32"/>
    <mergeCell ref="B36:C36"/>
    <mergeCell ref="B37:C38"/>
    <mergeCell ref="O3:O6"/>
    <mergeCell ref="P3:P6"/>
    <mergeCell ref="Q3:Q6"/>
    <mergeCell ref="R3:R6"/>
    <mergeCell ref="S3:S6"/>
    <mergeCell ref="T3:T6"/>
    <mergeCell ref="U3:U6"/>
    <mergeCell ref="V3:V6"/>
    <mergeCell ref="W3:W6"/>
    <mergeCell ref="X3:X6"/>
    <mergeCell ref="P30:AC30"/>
  </mergeCells>
  <conditionalFormatting sqref="C7:AG27">
    <cfRule type="containsText" dxfId="0" priority="1" operator="containsText" text="AB">
      <formula>NOT(ISERROR(SEARCH(("AB"),(C7))))</formula>
    </cfRule>
  </conditionalFormatting>
  <conditionalFormatting sqref="C7:AG27">
    <cfRule type="cellIs" dxfId="1" priority="2" operator="greaterThan">
      <formula>0</formula>
    </cfRule>
  </conditionalFormatting>
  <conditionalFormatting sqref="C7:AG27">
    <cfRule type="containsText" dxfId="2" priority="3" operator="containsText" text="TR">
      <formula>NOT(ISERROR(SEARCH(("TR"),(C7))))</formula>
    </cfRule>
  </conditionalFormatting>
  <dataValidations>
    <dataValidation type="list" allowBlank="1" showErrorMessage="1" sqref="C7:AG27">
      <formula1>"PT,AB,SL,OF,VC,XO,PH,TR,HD,FD,OH,DP,1,2,3,4,5,6,7,8,9,10,11,12"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