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A58BBEA-0409-4419-9E69-F12DE88C078C}" xr6:coauthVersionLast="36" xr6:coauthVersionMax="36" xr10:uidLastSave="{00000000-0000-0000-0000-000000000000}"/>
  <bookViews>
    <workbookView xWindow="0" yWindow="0" windowWidth="23040" windowHeight="8772" xr2:uid="{00000000-000D-0000-FFFF-FFFF00000000}"/>
  </bookViews>
  <sheets>
    <sheet name="Attendance" sheetId="1" r:id="rId1"/>
  </sheets>
  <calcPr calcId="179021"/>
</workbook>
</file>

<file path=xl/calcChain.xml><?xml version="1.0" encoding="utf-8"?>
<calcChain xmlns="http://schemas.openxmlformats.org/spreadsheetml/2006/main">
  <c r="AE3" i="1" l="1"/>
  <c r="AF3" i="1"/>
  <c r="AG3" i="1"/>
  <c r="AP27" i="1"/>
  <c r="AQ27" i="1" s="1"/>
  <c r="AO27" i="1"/>
  <c r="AN27" i="1"/>
  <c r="AM27" i="1"/>
  <c r="AL27" i="1"/>
  <c r="AK27" i="1"/>
  <c r="AJ27" i="1"/>
  <c r="AI27" i="1"/>
  <c r="AH27" i="1"/>
  <c r="AR27" i="1" s="1"/>
  <c r="AP26" i="1"/>
  <c r="AQ26" i="1" s="1"/>
  <c r="AO26" i="1"/>
  <c r="AM26" i="1"/>
  <c r="AL26" i="1"/>
  <c r="AK26" i="1"/>
  <c r="AJ26" i="1"/>
  <c r="AI26" i="1"/>
  <c r="AH26" i="1"/>
  <c r="AN26" i="1" s="1"/>
  <c r="AR25" i="1"/>
  <c r="AQ25" i="1"/>
  <c r="AP25" i="1"/>
  <c r="AO25" i="1"/>
  <c r="AN25" i="1"/>
  <c r="AM25" i="1"/>
  <c r="AL25" i="1"/>
  <c r="AK25" i="1"/>
  <c r="AJ25" i="1"/>
  <c r="AI25" i="1"/>
  <c r="AH25" i="1"/>
  <c r="AQ24" i="1"/>
  <c r="AP24" i="1"/>
  <c r="AO24" i="1"/>
  <c r="AN24" i="1"/>
  <c r="AM24" i="1"/>
  <c r="AL24" i="1"/>
  <c r="AK24" i="1"/>
  <c r="AJ24" i="1"/>
  <c r="AI24" i="1"/>
  <c r="AH24" i="1"/>
  <c r="AR24" i="1" s="1"/>
  <c r="AQ23" i="1"/>
  <c r="AP23" i="1"/>
  <c r="AO23" i="1"/>
  <c r="AM23" i="1"/>
  <c r="AL23" i="1"/>
  <c r="AK23" i="1"/>
  <c r="AJ23" i="1"/>
  <c r="AI23" i="1"/>
  <c r="AH23" i="1"/>
  <c r="AN23" i="1" s="1"/>
  <c r="AQ22" i="1"/>
  <c r="AP22" i="1"/>
  <c r="AO22" i="1"/>
  <c r="AN22" i="1"/>
  <c r="AM22" i="1"/>
  <c r="AL22" i="1"/>
  <c r="AK22" i="1"/>
  <c r="AJ22" i="1"/>
  <c r="AI22" i="1"/>
  <c r="AH22" i="1"/>
  <c r="AR22" i="1" s="1"/>
  <c r="AP21" i="1"/>
  <c r="AQ21" i="1" s="1"/>
  <c r="AO21" i="1"/>
  <c r="AN21" i="1"/>
  <c r="AM21" i="1"/>
  <c r="AL21" i="1"/>
  <c r="AK21" i="1"/>
  <c r="AJ21" i="1"/>
  <c r="AI21" i="1"/>
  <c r="AH21" i="1"/>
  <c r="AR21" i="1" s="1"/>
  <c r="AR20" i="1"/>
  <c r="AQ20" i="1"/>
  <c r="AP20" i="1"/>
  <c r="AO20" i="1"/>
  <c r="AM20" i="1"/>
  <c r="AL20" i="1"/>
  <c r="AK20" i="1"/>
  <c r="AJ20" i="1"/>
  <c r="AI20" i="1"/>
  <c r="AH20" i="1"/>
  <c r="AN20" i="1" s="1"/>
  <c r="AP19" i="1"/>
  <c r="AQ19" i="1" s="1"/>
  <c r="AO19" i="1"/>
  <c r="AN19" i="1"/>
  <c r="AM19" i="1"/>
  <c r="AL19" i="1"/>
  <c r="AK19" i="1"/>
  <c r="AJ19" i="1"/>
  <c r="AI19" i="1"/>
  <c r="AH19" i="1"/>
  <c r="AR19" i="1" s="1"/>
  <c r="AP18" i="1"/>
  <c r="AQ18" i="1" s="1"/>
  <c r="AO18" i="1"/>
  <c r="AM18" i="1"/>
  <c r="AL18" i="1"/>
  <c r="AK18" i="1"/>
  <c r="AJ18" i="1"/>
  <c r="AI18" i="1"/>
  <c r="AH18" i="1"/>
  <c r="AN18" i="1" s="1"/>
  <c r="AR17" i="1"/>
  <c r="AQ17" i="1"/>
  <c r="AP17" i="1"/>
  <c r="AO17" i="1"/>
  <c r="AN17" i="1"/>
  <c r="AM17" i="1"/>
  <c r="AL17" i="1"/>
  <c r="AK17" i="1"/>
  <c r="AJ17" i="1"/>
  <c r="AI17" i="1"/>
  <c r="AH17" i="1"/>
  <c r="AQ16" i="1"/>
  <c r="AP16" i="1"/>
  <c r="AO16" i="1"/>
  <c r="AN16" i="1"/>
  <c r="AM16" i="1"/>
  <c r="AL16" i="1"/>
  <c r="AK16" i="1"/>
  <c r="AJ16" i="1"/>
  <c r="AI16" i="1"/>
  <c r="AH16" i="1"/>
  <c r="AR16" i="1" s="1"/>
  <c r="AQ15" i="1"/>
  <c r="AP15" i="1"/>
  <c r="AO15" i="1"/>
  <c r="AM15" i="1"/>
  <c r="AL15" i="1"/>
  <c r="AK15" i="1"/>
  <c r="AJ15" i="1"/>
  <c r="AI15" i="1"/>
  <c r="AH15" i="1"/>
  <c r="AN15" i="1" s="1"/>
  <c r="AQ14" i="1"/>
  <c r="AP14" i="1"/>
  <c r="AO14" i="1"/>
  <c r="AM14" i="1"/>
  <c r="AL14" i="1"/>
  <c r="AK14" i="1"/>
  <c r="AJ14" i="1"/>
  <c r="AI14" i="1"/>
  <c r="AH14" i="1"/>
  <c r="AR14" i="1" s="1"/>
  <c r="AP13" i="1"/>
  <c r="AQ13" i="1" s="1"/>
  <c r="AO13" i="1"/>
  <c r="AM13" i="1"/>
  <c r="AL13" i="1"/>
  <c r="AK13" i="1"/>
  <c r="AJ13" i="1"/>
  <c r="AI13" i="1"/>
  <c r="AH13" i="1"/>
  <c r="AN13" i="1" s="1"/>
  <c r="AR12" i="1"/>
  <c r="AQ12" i="1"/>
  <c r="AP12" i="1"/>
  <c r="AO12" i="1"/>
  <c r="AM12" i="1"/>
  <c r="AL12" i="1"/>
  <c r="AK12" i="1"/>
  <c r="AJ12" i="1"/>
  <c r="AI12" i="1"/>
  <c r="AH12" i="1"/>
  <c r="AN12" i="1" s="1"/>
  <c r="AQ11" i="1"/>
  <c r="AP11" i="1"/>
  <c r="AO11" i="1"/>
  <c r="AN11" i="1"/>
  <c r="AM11" i="1"/>
  <c r="AL11" i="1"/>
  <c r="AK11" i="1"/>
  <c r="AJ11" i="1"/>
  <c r="AI11" i="1"/>
  <c r="AH11" i="1"/>
  <c r="AR11" i="1" s="1"/>
  <c r="AP10" i="1"/>
  <c r="AQ10" i="1" s="1"/>
  <c r="AO10" i="1"/>
  <c r="AM10" i="1"/>
  <c r="AL10" i="1"/>
  <c r="AK10" i="1"/>
  <c r="AJ10" i="1"/>
  <c r="AI10" i="1"/>
  <c r="AH10" i="1"/>
  <c r="AN10" i="1" s="1"/>
  <c r="AR9" i="1"/>
  <c r="AQ9" i="1"/>
  <c r="AP9" i="1"/>
  <c r="AO9" i="1"/>
  <c r="AM9" i="1"/>
  <c r="AL9" i="1"/>
  <c r="AK9" i="1"/>
  <c r="AJ9" i="1"/>
  <c r="AI9" i="1"/>
  <c r="AH9" i="1"/>
  <c r="AN9" i="1" s="1"/>
  <c r="AQ8" i="1"/>
  <c r="AP8" i="1"/>
  <c r="AO8" i="1"/>
  <c r="AN8" i="1"/>
  <c r="AM8" i="1"/>
  <c r="AL8" i="1"/>
  <c r="AK8" i="1"/>
  <c r="AJ8" i="1"/>
  <c r="AI8" i="1"/>
  <c r="AH8" i="1"/>
  <c r="AR8" i="1" s="1"/>
  <c r="AP7" i="1"/>
  <c r="AQ7" i="1" s="1"/>
  <c r="AO7" i="1"/>
  <c r="AM7" i="1"/>
  <c r="AL7" i="1"/>
  <c r="AK7" i="1"/>
  <c r="AJ7" i="1"/>
  <c r="AI7" i="1"/>
  <c r="AH7" i="1"/>
  <c r="AN7" i="1" s="1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B3" i="1"/>
  <c r="B2" i="1"/>
  <c r="G35" i="1" s="1"/>
  <c r="H35" i="1" s="1"/>
  <c r="AR15" i="1" l="1"/>
  <c r="AR23" i="1"/>
  <c r="AR10" i="1"/>
  <c r="AN14" i="1"/>
  <c r="AR18" i="1"/>
  <c r="AR26" i="1"/>
  <c r="AR7" i="1"/>
  <c r="AR13" i="1"/>
</calcChain>
</file>

<file path=xl/sharedStrings.xml><?xml version="1.0" encoding="utf-8"?>
<sst xmlns="http://schemas.openxmlformats.org/spreadsheetml/2006/main" count="252" uniqueCount="38">
  <si>
    <t>ATTENDANCE</t>
  </si>
  <si>
    <r>
      <rPr>
        <b/>
        <sz val="9"/>
        <color rgb="FF0000FF"/>
        <rFont val="Calibri"/>
      </rPr>
      <t xml:space="preserve">PT </t>
    </r>
    <r>
      <rPr>
        <b/>
        <sz val="9"/>
        <color rgb="FFFF0000"/>
        <rFont val="Calibri"/>
      </rPr>
      <t xml:space="preserve">: PRESENT, </t>
    </r>
    <r>
      <rPr>
        <b/>
        <sz val="9"/>
        <color rgb="FF0000FF"/>
        <rFont val="Calibri"/>
      </rPr>
      <t xml:space="preserve">AB </t>
    </r>
    <r>
      <rPr>
        <b/>
        <sz val="9"/>
        <color rgb="FFFF0000"/>
        <rFont val="Calibri"/>
      </rPr>
      <t xml:space="preserve">: ABSENT, </t>
    </r>
    <r>
      <rPr>
        <b/>
        <sz val="9"/>
        <color rgb="FF0000FF"/>
        <rFont val="Calibri"/>
      </rPr>
      <t xml:space="preserve">SL </t>
    </r>
    <r>
      <rPr>
        <b/>
        <sz val="9"/>
        <color rgb="FFFF0000"/>
        <rFont val="Calibri"/>
      </rPr>
      <t xml:space="preserve">: SICK LEAVE, </t>
    </r>
    <r>
      <rPr>
        <b/>
        <sz val="9"/>
        <color rgb="FF0000FF"/>
        <rFont val="Calibri"/>
      </rPr>
      <t xml:space="preserve">VC </t>
    </r>
    <r>
      <rPr>
        <b/>
        <sz val="9"/>
        <color rgb="FFFF0000"/>
        <rFont val="Calibri"/>
      </rPr>
      <t xml:space="preserve">: VACATION, </t>
    </r>
    <r>
      <rPr>
        <b/>
        <sz val="9"/>
        <color rgb="FF0000FF"/>
        <rFont val="Calibri"/>
      </rPr>
      <t xml:space="preserve">XO </t>
    </r>
    <r>
      <rPr>
        <b/>
        <sz val="9"/>
        <color rgb="FFFF0000"/>
        <rFont val="Calibri"/>
      </rPr>
      <t xml:space="preserve">: EXTRA OFF (IF WORKING IN PUBLIC HOLIDAY ON DAY OFF), </t>
    </r>
    <r>
      <rPr>
        <b/>
        <sz val="9"/>
        <color rgb="FF0000FF"/>
        <rFont val="Calibri"/>
      </rPr>
      <t xml:space="preserve">TR </t>
    </r>
    <r>
      <rPr>
        <b/>
        <sz val="9"/>
        <color rgb="FFFF0000"/>
        <rFont val="Calibri"/>
      </rPr>
      <t xml:space="preserve">: TRANSFERRED, </t>
    </r>
    <r>
      <rPr>
        <b/>
        <sz val="9"/>
        <color rgb="FF0000FF"/>
        <rFont val="Calibri"/>
      </rPr>
      <t xml:space="preserve">HD </t>
    </r>
    <r>
      <rPr>
        <b/>
        <sz val="9"/>
        <color rgb="FFFF0000"/>
        <rFont val="Calibri"/>
      </rPr>
      <t xml:space="preserve">: HALF DAY PENDING, </t>
    </r>
    <r>
      <rPr>
        <b/>
        <sz val="9"/>
        <color rgb="FF0000FF"/>
        <rFont val="Calibri"/>
      </rPr>
      <t xml:space="preserve">FD </t>
    </r>
    <r>
      <rPr>
        <b/>
        <sz val="9"/>
        <color rgb="FFFF0000"/>
        <rFont val="Calibri"/>
      </rPr>
      <t xml:space="preserve">: FULL DAY PENDING, </t>
    </r>
    <r>
      <rPr>
        <b/>
        <sz val="9"/>
        <color rgb="FF0000FF"/>
        <rFont val="Calibri"/>
      </rPr>
      <t xml:space="preserve">OFF </t>
    </r>
    <r>
      <rPr>
        <b/>
        <sz val="9"/>
        <color rgb="FFFF0000"/>
        <rFont val="Calibri"/>
      </rPr>
      <t xml:space="preserve">: OFF DAY, </t>
    </r>
    <r>
      <rPr>
        <b/>
        <sz val="9"/>
        <color rgb="FF0000FF"/>
        <rFont val="Calibri"/>
      </rPr>
      <t xml:space="preserve">OH </t>
    </r>
    <r>
      <rPr>
        <b/>
        <sz val="9"/>
        <color rgb="FFFF0000"/>
        <rFont val="Calibri"/>
      </rPr>
      <t>: HALF DAY OFF, DP : DAY OF PUBLIC HOLIDAY</t>
    </r>
  </si>
  <si>
    <t>From</t>
  </si>
  <si>
    <t>Employee number must be entered, dont reformat the sheet (No bold, dont merge,dont change the colors)</t>
  </si>
  <si>
    <t>Total Worked
Days</t>
  </si>
  <si>
    <t>Total Working
Days</t>
  </si>
  <si>
    <t>Pending
Half Day Off</t>
  </si>
  <si>
    <t>Pendin
Full Day off</t>
  </si>
  <si>
    <t>Total Day Off</t>
  </si>
  <si>
    <t>Total Absents</t>
  </si>
  <si>
    <t>Total Sick Leave</t>
  </si>
  <si>
    <t>Total Public 
Holidays</t>
  </si>
  <si>
    <t>Extra Hours</t>
  </si>
  <si>
    <t>Extra Hours Days</t>
  </si>
  <si>
    <t>Total Days to Pay</t>
  </si>
  <si>
    <t>To</t>
  </si>
  <si>
    <t>Bimba  Y Lola -Avenues</t>
  </si>
  <si>
    <t>EMP #</t>
  </si>
  <si>
    <t>NAME</t>
  </si>
  <si>
    <t>LESLIE ARCOS BENAVIDES</t>
  </si>
  <si>
    <t>PT</t>
  </si>
  <si>
    <t>HD</t>
  </si>
  <si>
    <t>OF</t>
  </si>
  <si>
    <t>VC</t>
  </si>
  <si>
    <t>NOUR AL-HOURY</t>
  </si>
  <si>
    <t>MARIAM ASUNCION</t>
  </si>
  <si>
    <t>FD</t>
  </si>
  <si>
    <t>PH</t>
  </si>
  <si>
    <t>AMINA ELSAIDI</t>
  </si>
  <si>
    <t>DP</t>
  </si>
  <si>
    <t>MARIA FADI MELHEM</t>
  </si>
  <si>
    <t>TAMARA WASSIM NASSEREDDINE</t>
  </si>
  <si>
    <t>AB</t>
  </si>
  <si>
    <t>AHMAD AL LAHAM</t>
  </si>
  <si>
    <t>Jennelyn Ablon</t>
  </si>
  <si>
    <t>Notes :</t>
  </si>
  <si>
    <t xml:space="preserve">                                                                                                                </t>
  </si>
  <si>
    <t>STORE MANAGER/IN-CHARGE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</si>
</sst>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&quot;-&quot;mmm&quot;-&quot;yyyy"/>
    <numFmt numFmtId="165" formatCode="dd&quot;-&quot;ddd&quot;-&quot;mmm"/>
    <numFmt numFmtId="166" formatCode="[$£-809]#,##0.00"/>
  </numFmts>
  <fonts count="14">
    <font>
      <sz val="10"/>
      <color rgb="FF000000"/>
      <name val="Arial"/>
      <scheme val="minor"/>
    </font>
    <font>
      <b/>
      <sz val="12"/>
      <color theme="1"/>
      <name val="Roboto Mono"/>
    </font>
    <font>
      <b/>
      <sz val="11"/>
      <color rgb="FFFF0000"/>
      <name val="Calibri"/>
    </font>
    <font>
      <sz val="10"/>
      <name val="Arial"/>
    </font>
    <font>
      <b/>
      <sz val="10"/>
      <color theme="1"/>
      <name val="Calibri"/>
    </font>
    <font>
      <sz val="10"/>
      <color theme="1"/>
      <name val="Arial"/>
    </font>
    <font>
      <b/>
      <sz val="8"/>
      <color rgb="FF00FF00"/>
      <name val="Montserrat"/>
    </font>
    <font>
      <sz val="9"/>
      <color theme="1"/>
      <name val="Arial"/>
    </font>
    <font>
      <sz val="10"/>
      <color rgb="FFFFFFFF"/>
      <name val="Arial"/>
    </font>
    <font>
      <sz val="10"/>
      <color theme="1"/>
      <name val="Verdana"/>
    </font>
    <font>
      <b/>
      <sz val="10"/>
      <color rgb="FFFFFFFF"/>
      <name val="Arial"/>
    </font>
    <font>
      <sz val="12"/>
      <color theme="1"/>
      <name val="Courier New"/>
    </font>
    <font>
      <b/>
      <sz val="9"/>
      <color rgb="FF0000FF"/>
      <name val="Calibri"/>
    </font>
    <font>
      <b/>
      <sz val="9"/>
      <color rgb="FFFF0000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EA4335"/>
        <bgColor rgb="FFEA4335"/>
      </patternFill>
    </fill>
    <fill>
      <patternFill patternType="solid">
        <fgColor rgb="FF34A853"/>
        <bgColor rgb="FF34A853"/>
      </patternFill>
    </fill>
    <fill>
      <patternFill patternType="solid">
        <fgColor rgb="FF3C78D8"/>
        <bgColor rgb="FF3C78D8"/>
      </patternFill>
    </fill>
    <fill>
      <patternFill patternType="solid">
        <fgColor rgb="FFA61C00"/>
        <bgColor rgb="FFA61C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4" fillId="2" borderId="3" xfId="0" applyFont="1" applyFill="1" applyBorder="1"/>
    <xf numFmtId="164" fontId="5" fillId="3" borderId="3" xfId="0" applyNumberFormat="1" applyFont="1" applyFill="1" applyBorder="1" applyAlignment="1">
      <alignment horizontal="center"/>
    </xf>
    <xf numFmtId="0" fontId="4" fillId="2" borderId="8" xfId="0" applyFont="1" applyFill="1" applyBorder="1"/>
    <xf numFmtId="0" fontId="5" fillId="5" borderId="3" xfId="0" applyFont="1" applyFill="1" applyBorder="1"/>
    <xf numFmtId="0" fontId="9" fillId="0" borderId="3" xfId="0" applyFont="1" applyBorder="1" applyAlignment="1"/>
    <xf numFmtId="0" fontId="7" fillId="0" borderId="3" xfId="0" applyFont="1" applyBorder="1" applyAlignment="1"/>
    <xf numFmtId="0" fontId="7" fillId="0" borderId="3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9" fillId="0" borderId="0" xfId="0" applyFont="1" applyAlignment="1"/>
    <xf numFmtId="0" fontId="9" fillId="0" borderId="3" xfId="0" applyFont="1" applyBorder="1"/>
    <xf numFmtId="0" fontId="5" fillId="0" borderId="0" xfId="0" applyFont="1"/>
    <xf numFmtId="166" fontId="7" fillId="0" borderId="3" xfId="0" applyNumberFormat="1" applyFont="1" applyBorder="1"/>
    <xf numFmtId="0" fontId="5" fillId="0" borderId="3" xfId="0" applyFont="1" applyBorder="1"/>
    <xf numFmtId="0" fontId="7" fillId="0" borderId="0" xfId="0" applyFont="1"/>
    <xf numFmtId="0" fontId="10" fillId="4" borderId="0" xfId="0" applyFont="1" applyFill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8" fillId="12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0" fontId="7" fillId="5" borderId="7" xfId="0" applyFont="1" applyFill="1" applyBorder="1" applyAlignment="1">
      <alignment horizontal="center" vertical="center" textRotation="90"/>
    </xf>
    <xf numFmtId="0" fontId="3" fillId="0" borderId="9" xfId="0" applyFont="1" applyBorder="1"/>
    <xf numFmtId="0" fontId="3" fillId="0" borderId="13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165" fontId="5" fillId="5" borderId="7" xfId="0" applyNumberFormat="1" applyFont="1" applyFill="1" applyBorder="1" applyAlignment="1">
      <alignment horizontal="center" vertical="center" textRotation="90"/>
    </xf>
    <xf numFmtId="0" fontId="8" fillId="4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2" xfId="0" applyFont="1" applyBorder="1"/>
    <xf numFmtId="0" fontId="2" fillId="0" borderId="1" xfId="0" applyFont="1" applyBorder="1"/>
    <xf numFmtId="0" fontId="3" fillId="0" borderId="1" xfId="0" applyFont="1" applyBorder="1"/>
    <xf numFmtId="0" fontId="6" fillId="4" borderId="4" xfId="0" applyFont="1" applyFill="1" applyBorder="1"/>
    <xf numFmtId="0" fontId="3" fillId="0" borderId="5" xfId="0" applyFont="1" applyBorder="1"/>
    <xf numFmtId="0" fontId="3" fillId="0" borderId="6" xfId="0" applyFont="1" applyBorder="1"/>
    <xf numFmtId="4" fontId="5" fillId="0" borderId="0" xfId="0" applyNumberFormat="1" applyFont="1" applyAlignment="1"/>
    <xf numFmtId="0" fontId="5" fillId="0" borderId="1" xfId="0" applyFont="1" applyBorder="1"/>
    <xf numFmtId="0" fontId="11" fillId="11" borderId="4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R1000"/>
  <sheetViews>
    <sheetView showGridLines="0" tabSelected="1" workbookViewId="0">
      <selection activeCell="AF3" sqref="AF3:AF6"/>
    </sheetView>
  </sheetViews>
  <sheetFormatPr defaultColWidth="12.6640625" defaultRowHeight="15" customHeight="1"/>
  <cols>
    <col min="1" max="1" width="8.77734375" customWidth="1"/>
    <col min="2" max="2" width="26.21875" customWidth="1"/>
    <col min="3" max="32" width="5.109375" customWidth="1"/>
    <col min="33" max="42" width="3.88671875" customWidth="1"/>
    <col min="43" max="44" width="5.21875" customWidth="1"/>
  </cols>
  <sheetData>
    <row r="1" spans="1:44" ht="17.25" customHeight="1">
      <c r="A1" s="29" t="s">
        <v>0</v>
      </c>
      <c r="B1" s="30"/>
      <c r="C1" s="36" t="s">
        <v>1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5"/>
    </row>
    <row r="2" spans="1:44" ht="16.5" customHeight="1">
      <c r="A2" s="1" t="s">
        <v>2</v>
      </c>
      <c r="B2" s="2">
        <f ca="1">IFERROR(__xludf.DUMMYFUNCTION("IMPORTRANGE(""1IwH73XgojtrpEGGdgvM_xIgjH21e-WPTBKDAIVTqZJo"",""SHEET1!D5"")"),46044)</f>
        <v>46044</v>
      </c>
      <c r="C2" s="38" t="s">
        <v>3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40"/>
      <c r="AH2" s="26" t="s">
        <v>4</v>
      </c>
      <c r="AI2" s="26" t="s">
        <v>5</v>
      </c>
      <c r="AJ2" s="26" t="s">
        <v>6</v>
      </c>
      <c r="AK2" s="26" t="s">
        <v>7</v>
      </c>
      <c r="AL2" s="26" t="s">
        <v>8</v>
      </c>
      <c r="AM2" s="26" t="s">
        <v>9</v>
      </c>
      <c r="AN2" s="26" t="s">
        <v>10</v>
      </c>
      <c r="AO2" s="26" t="s">
        <v>11</v>
      </c>
      <c r="AP2" s="26" t="s">
        <v>12</v>
      </c>
      <c r="AQ2" s="26" t="s">
        <v>13</v>
      </c>
      <c r="AR2" s="26" t="s">
        <v>14</v>
      </c>
    </row>
    <row r="3" spans="1:44" ht="16.5" customHeight="1">
      <c r="A3" s="3" t="s">
        <v>15</v>
      </c>
      <c r="B3" s="2">
        <f ca="1">IFERROR(__xludf.DUMMYFUNCTION("IMPORTRANGE(""1IwH73XgojtrpEGGdgvM_xIgjH21e-WPTBKDAIVTqZJo"",""SHEET1!D6"")"),46074)</f>
        <v>46074</v>
      </c>
      <c r="C3" s="31">
        <v>46013</v>
      </c>
      <c r="D3" s="31">
        <f>C3+1</f>
        <v>46014</v>
      </c>
      <c r="E3" s="31">
        <f t="shared" ref="E3:AD3" si="0">D3:D6+1</f>
        <v>46015</v>
      </c>
      <c r="F3" s="31">
        <f t="shared" si="0"/>
        <v>46016</v>
      </c>
      <c r="G3" s="31">
        <f t="shared" si="0"/>
        <v>46017</v>
      </c>
      <c r="H3" s="31">
        <f t="shared" si="0"/>
        <v>46018</v>
      </c>
      <c r="I3" s="31">
        <f t="shared" si="0"/>
        <v>46019</v>
      </c>
      <c r="J3" s="31">
        <f t="shared" si="0"/>
        <v>46020</v>
      </c>
      <c r="K3" s="31">
        <f t="shared" si="0"/>
        <v>46021</v>
      </c>
      <c r="L3" s="31">
        <f t="shared" si="0"/>
        <v>46022</v>
      </c>
      <c r="M3" s="31">
        <f t="shared" si="0"/>
        <v>46023</v>
      </c>
      <c r="N3" s="31">
        <f t="shared" si="0"/>
        <v>46024</v>
      </c>
      <c r="O3" s="31">
        <f t="shared" si="0"/>
        <v>46025</v>
      </c>
      <c r="P3" s="31">
        <f t="shared" si="0"/>
        <v>46026</v>
      </c>
      <c r="Q3" s="31">
        <f t="shared" si="0"/>
        <v>46027</v>
      </c>
      <c r="R3" s="31">
        <f t="shared" si="0"/>
        <v>46028</v>
      </c>
      <c r="S3" s="31">
        <f t="shared" si="0"/>
        <v>46029</v>
      </c>
      <c r="T3" s="31">
        <f t="shared" si="0"/>
        <v>46030</v>
      </c>
      <c r="U3" s="31">
        <f t="shared" si="0"/>
        <v>46031</v>
      </c>
      <c r="V3" s="31">
        <f t="shared" si="0"/>
        <v>46032</v>
      </c>
      <c r="W3" s="31">
        <f t="shared" si="0"/>
        <v>46033</v>
      </c>
      <c r="X3" s="31">
        <f t="shared" si="0"/>
        <v>46034</v>
      </c>
      <c r="Y3" s="31">
        <f t="shared" si="0"/>
        <v>46035</v>
      </c>
      <c r="Z3" s="31">
        <f t="shared" si="0"/>
        <v>46036</v>
      </c>
      <c r="AA3" s="31">
        <f t="shared" si="0"/>
        <v>46037</v>
      </c>
      <c r="AB3" s="31">
        <f t="shared" si="0"/>
        <v>46038</v>
      </c>
      <c r="AC3" s="31">
        <f t="shared" si="0"/>
        <v>46039</v>
      </c>
      <c r="AD3" s="31">
        <f t="shared" si="0"/>
        <v>46040</v>
      </c>
      <c r="AE3" s="31">
        <f t="shared" ref="AE3" si="1">AD3:AD6+1</f>
        <v>46041</v>
      </c>
      <c r="AF3" s="31">
        <f t="shared" ref="AF3" si="2">AE3:AE6+1</f>
        <v>46042</v>
      </c>
      <c r="AG3" s="31">
        <f t="shared" ref="AG3" si="3">AF3:AF6+1</f>
        <v>46043</v>
      </c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</row>
    <row r="4" spans="1:44" ht="15.75" customHeight="1">
      <c r="A4" s="32" t="s">
        <v>16</v>
      </c>
      <c r="B4" s="33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</row>
    <row r="5" spans="1:44" ht="15.75" customHeight="1">
      <c r="A5" s="34"/>
      <c r="B5" s="35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</row>
    <row r="6" spans="1:44" ht="15.75" customHeight="1">
      <c r="A6" s="4" t="s">
        <v>17</v>
      </c>
      <c r="B6" s="4" t="s">
        <v>18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15.75" customHeight="1">
      <c r="A7" s="5">
        <v>1113</v>
      </c>
      <c r="B7" s="5" t="s">
        <v>19</v>
      </c>
      <c r="C7" s="6" t="s">
        <v>20</v>
      </c>
      <c r="D7" s="6" t="s">
        <v>20</v>
      </c>
      <c r="E7" s="6" t="s">
        <v>21</v>
      </c>
      <c r="F7" s="6" t="s">
        <v>21</v>
      </c>
      <c r="G7" s="6" t="s">
        <v>20</v>
      </c>
      <c r="H7" s="6" t="s">
        <v>22</v>
      </c>
      <c r="I7" s="6" t="s">
        <v>23</v>
      </c>
      <c r="J7" s="6" t="s">
        <v>23</v>
      </c>
      <c r="K7" s="6" t="s">
        <v>23</v>
      </c>
      <c r="L7" s="6" t="s">
        <v>23</v>
      </c>
      <c r="M7" s="6" t="s">
        <v>23</v>
      </c>
      <c r="N7" s="6" t="s">
        <v>23</v>
      </c>
      <c r="O7" s="6" t="s">
        <v>23</v>
      </c>
      <c r="P7" s="6" t="s">
        <v>23</v>
      </c>
      <c r="Q7" s="6" t="s">
        <v>23</v>
      </c>
      <c r="R7" s="6" t="s">
        <v>23</v>
      </c>
      <c r="S7" s="6" t="s">
        <v>23</v>
      </c>
      <c r="T7" s="6" t="s">
        <v>23</v>
      </c>
      <c r="U7" s="6" t="s">
        <v>23</v>
      </c>
      <c r="V7" s="6" t="s">
        <v>23</v>
      </c>
      <c r="W7" s="6" t="s">
        <v>23</v>
      </c>
      <c r="X7" s="6" t="s">
        <v>23</v>
      </c>
      <c r="Y7" s="6" t="s">
        <v>23</v>
      </c>
      <c r="Z7" s="6" t="s">
        <v>23</v>
      </c>
      <c r="AA7" s="6" t="s">
        <v>23</v>
      </c>
      <c r="AB7" s="6" t="s">
        <v>23</v>
      </c>
      <c r="AC7" s="6" t="s">
        <v>23</v>
      </c>
      <c r="AD7" s="6" t="s">
        <v>23</v>
      </c>
      <c r="AE7" s="6" t="s">
        <v>23</v>
      </c>
      <c r="AF7" s="6" t="s">
        <v>23</v>
      </c>
      <c r="AG7" s="7"/>
      <c r="AH7" s="8">
        <f t="shared" ref="AH7:AH27" si="4">IF(COUNTIF(C7:AG7,"PT")+COUNTIF(C7:AG7,"SL")+COUNTIF(C7:AG7,"OF")+COUNTIF(C7:AG7,"XO")+COUNTIF(C7:AG7,"&gt;0")+COUNTIF(C7:AG7,"PH")+COUNTIF(C7:AG7,"HD")+COUNTIF(C7:AG7,"DP")+COUNTIF(C7:AG7,"FD")+COUNTIF(C7:AG7,"OH")=0,"",COUNTIF(C7:AG7,"PT")+COUNTIF(C7:AG7,"SL")+COUNTIF(C7:AG7,"OF")+COUNTIF(C7:AG7,"DP")+COUNTIF(C7:AG7,"XO")+COUNTIF(C7:AG7,"&gt;0")+COUNTIF(C7:AG7,"PH")++COUNTIF(C7:AG7,"HD")+COUNTIF(C7:AG7,"FD")+COUNTIF(C7:AG7,"OH"))</f>
        <v>6</v>
      </c>
      <c r="AI7" s="9" t="e">
        <f t="shared" ref="AI7:AI27" ca="1" si="5">_xludf.DAYS(B$3, B$2)+1</f>
        <v>#NAME?</v>
      </c>
      <c r="AJ7" s="8" t="str">
        <f t="shared" ref="AJ7:AJ27" si="6">IF(COUNTIF(C7:AG7,"OH")=0,"",COUNTIF(C7:AG7,"OH")/2)</f>
        <v/>
      </c>
      <c r="AK7" s="8">
        <f t="shared" ref="AK7:AK27" si="7">IF(COUNTIF(C7:AG7,"HD")*0.5 +  COUNTIF(D7:AG7,"FD")=0,"",COUNTIF(C7:AG7,"HD")*0.5 +  COUNTIF(D7:AG7,"FD")*1)</f>
        <v>1</v>
      </c>
      <c r="AL7" s="10">
        <f t="shared" ref="AL7:AL27" si="8">IF(COUNTIF(C7:AG7,"DP")+COUNTIF(C7:AG7,"OF")=0,"",COUNTIF(C7:AG7,"OF")+COUNTIF(C7:AG7,"DP"))</f>
        <v>1</v>
      </c>
      <c r="AM7" s="11" t="str">
        <f t="shared" ref="AM7:AM27" si="9">IF(COUNTIF(C7:AG7,"Ab")=0,"",COUNTIF(C7:AG7,"Ab"))</f>
        <v/>
      </c>
      <c r="AN7" s="10" t="str">
        <f t="shared" ref="AN7:AN27" si="10">IF(COUNTIF(C7:AH7,"sl")=0,"",COUNTIF(C7:AH7,"sl"))</f>
        <v/>
      </c>
      <c r="AO7" s="12" t="str">
        <f t="shared" ref="AO7:AO27" si="11">IF(COUNTIF(C7:AG7,"DP")+COUNTIF(C7:AG7,"PH")=0,"",COUNTIF(C7:AG7,"PH")+COUNTIF(C7:AG7,"DP"))</f>
        <v/>
      </c>
      <c r="AP7" s="13" t="str">
        <f t="shared" ref="AP7:AP27" si="12">IF(SUM(C7:AG7)=0,"",SUM(C7:AG7))</f>
        <v/>
      </c>
      <c r="AQ7" s="13" t="e">
        <f t="shared" ref="AQ7:AQ27" si="13">IF(AP7/8=0,"",AP7/8)</f>
        <v>#VALUE!</v>
      </c>
      <c r="AR7" s="14">
        <f t="shared" ref="AR7:AR27" si="14">IF(AH7=0,"",AH7)</f>
        <v>6</v>
      </c>
    </row>
    <row r="8" spans="1:44" ht="15.75" customHeight="1">
      <c r="A8" s="5">
        <v>1384</v>
      </c>
      <c r="B8" s="5" t="s">
        <v>24</v>
      </c>
      <c r="C8" s="6" t="s">
        <v>20</v>
      </c>
      <c r="D8" s="6" t="s">
        <v>22</v>
      </c>
      <c r="E8" s="6" t="s">
        <v>20</v>
      </c>
      <c r="F8" s="6" t="s">
        <v>20</v>
      </c>
      <c r="G8" s="6" t="s">
        <v>20</v>
      </c>
      <c r="H8" s="6" t="s">
        <v>20</v>
      </c>
      <c r="I8" s="6" t="s">
        <v>20</v>
      </c>
      <c r="J8" s="6" t="s">
        <v>20</v>
      </c>
      <c r="K8" s="6" t="s">
        <v>22</v>
      </c>
      <c r="L8" s="6" t="s">
        <v>21</v>
      </c>
      <c r="M8" s="6" t="s">
        <v>21</v>
      </c>
      <c r="N8" s="6" t="s">
        <v>20</v>
      </c>
      <c r="O8" s="6" t="s">
        <v>20</v>
      </c>
      <c r="P8" s="6" t="s">
        <v>20</v>
      </c>
      <c r="Q8" s="6" t="s">
        <v>20</v>
      </c>
      <c r="R8" s="6" t="s">
        <v>20</v>
      </c>
      <c r="S8" s="6" t="s">
        <v>22</v>
      </c>
      <c r="T8" s="6" t="s">
        <v>20</v>
      </c>
      <c r="U8" s="6" t="s">
        <v>20</v>
      </c>
      <c r="V8" s="6" t="s">
        <v>20</v>
      </c>
      <c r="W8" s="6" t="s">
        <v>20</v>
      </c>
      <c r="X8" s="6" t="s">
        <v>20</v>
      </c>
      <c r="Y8" s="6" t="s">
        <v>22</v>
      </c>
      <c r="Z8" s="6" t="s">
        <v>20</v>
      </c>
      <c r="AA8" s="6" t="s">
        <v>20</v>
      </c>
      <c r="AB8" s="6" t="s">
        <v>20</v>
      </c>
      <c r="AC8" s="6" t="s">
        <v>20</v>
      </c>
      <c r="AD8" s="6" t="s">
        <v>20</v>
      </c>
      <c r="AE8" s="6" t="s">
        <v>20</v>
      </c>
      <c r="AF8" s="6" t="s">
        <v>20</v>
      </c>
      <c r="AG8" s="7"/>
      <c r="AH8" s="8">
        <f t="shared" si="4"/>
        <v>30</v>
      </c>
      <c r="AI8" s="9" t="e">
        <f t="shared" ca="1" si="5"/>
        <v>#NAME?</v>
      </c>
      <c r="AJ8" s="8" t="str">
        <f t="shared" si="6"/>
        <v/>
      </c>
      <c r="AK8" s="8">
        <f t="shared" si="7"/>
        <v>1</v>
      </c>
      <c r="AL8" s="10">
        <f t="shared" si="8"/>
        <v>4</v>
      </c>
      <c r="AM8" s="11" t="str">
        <f t="shared" si="9"/>
        <v/>
      </c>
      <c r="AN8" s="10" t="str">
        <f t="shared" si="10"/>
        <v/>
      </c>
      <c r="AO8" s="12" t="str">
        <f t="shared" si="11"/>
        <v/>
      </c>
      <c r="AP8" s="13" t="str">
        <f t="shared" si="12"/>
        <v/>
      </c>
      <c r="AQ8" s="13" t="e">
        <f t="shared" si="13"/>
        <v>#VALUE!</v>
      </c>
      <c r="AR8" s="14">
        <f t="shared" si="14"/>
        <v>30</v>
      </c>
    </row>
    <row r="9" spans="1:44" ht="15.75" customHeight="1">
      <c r="A9" s="5">
        <v>1481</v>
      </c>
      <c r="B9" s="5" t="s">
        <v>25</v>
      </c>
      <c r="C9" s="6" t="s">
        <v>22</v>
      </c>
      <c r="D9" s="6" t="s">
        <v>20</v>
      </c>
      <c r="E9" s="6" t="s">
        <v>20</v>
      </c>
      <c r="F9" s="6" t="s">
        <v>26</v>
      </c>
      <c r="G9" s="6" t="s">
        <v>20</v>
      </c>
      <c r="H9" s="6" t="s">
        <v>20</v>
      </c>
      <c r="I9" s="6" t="s">
        <v>22</v>
      </c>
      <c r="J9" s="6" t="s">
        <v>20</v>
      </c>
      <c r="K9" s="6" t="s">
        <v>20</v>
      </c>
      <c r="L9" s="6" t="s">
        <v>20</v>
      </c>
      <c r="M9" s="6" t="s">
        <v>27</v>
      </c>
      <c r="N9" s="6" t="s">
        <v>20</v>
      </c>
      <c r="O9" s="6" t="s">
        <v>20</v>
      </c>
      <c r="P9" s="6" t="s">
        <v>20</v>
      </c>
      <c r="Q9" s="6" t="s">
        <v>22</v>
      </c>
      <c r="R9" s="6" t="s">
        <v>20</v>
      </c>
      <c r="S9" s="6" t="s">
        <v>20</v>
      </c>
      <c r="T9" s="6" t="s">
        <v>20</v>
      </c>
      <c r="U9" s="6" t="s">
        <v>20</v>
      </c>
      <c r="V9" s="6" t="s">
        <v>20</v>
      </c>
      <c r="W9" s="6" t="s">
        <v>20</v>
      </c>
      <c r="X9" s="6" t="s">
        <v>22</v>
      </c>
      <c r="Y9" s="6" t="s">
        <v>20</v>
      </c>
      <c r="Z9" s="6" t="s">
        <v>20</v>
      </c>
      <c r="AA9" s="6" t="s">
        <v>20</v>
      </c>
      <c r="AB9" s="6" t="s">
        <v>20</v>
      </c>
      <c r="AC9" s="6" t="s">
        <v>20</v>
      </c>
      <c r="AD9" s="6" t="s">
        <v>20</v>
      </c>
      <c r="AE9" s="6" t="s">
        <v>22</v>
      </c>
      <c r="AF9" s="6" t="s">
        <v>20</v>
      </c>
      <c r="AG9" s="7"/>
      <c r="AH9" s="8">
        <f t="shared" si="4"/>
        <v>30</v>
      </c>
      <c r="AI9" s="9" t="e">
        <f t="shared" ca="1" si="5"/>
        <v>#NAME?</v>
      </c>
      <c r="AJ9" s="8" t="str">
        <f t="shared" si="6"/>
        <v/>
      </c>
      <c r="AK9" s="8">
        <f t="shared" si="7"/>
        <v>1</v>
      </c>
      <c r="AL9" s="10">
        <f t="shared" si="8"/>
        <v>5</v>
      </c>
      <c r="AM9" s="11" t="str">
        <f t="shared" si="9"/>
        <v/>
      </c>
      <c r="AN9" s="10" t="str">
        <f t="shared" si="10"/>
        <v/>
      </c>
      <c r="AO9" s="12">
        <f t="shared" si="11"/>
        <v>1</v>
      </c>
      <c r="AP9" s="13" t="str">
        <f t="shared" si="12"/>
        <v/>
      </c>
      <c r="AQ9" s="13" t="e">
        <f t="shared" si="13"/>
        <v>#VALUE!</v>
      </c>
      <c r="AR9" s="14">
        <f t="shared" si="14"/>
        <v>30</v>
      </c>
    </row>
    <row r="10" spans="1:44" ht="15.75" customHeight="1">
      <c r="A10" s="5">
        <v>1502</v>
      </c>
      <c r="B10" s="15" t="s">
        <v>28</v>
      </c>
      <c r="C10" s="6" t="s">
        <v>20</v>
      </c>
      <c r="D10" s="6" t="s">
        <v>20</v>
      </c>
      <c r="E10" s="6" t="s">
        <v>20</v>
      </c>
      <c r="F10" s="6" t="s">
        <v>20</v>
      </c>
      <c r="G10" s="6" t="s">
        <v>20</v>
      </c>
      <c r="H10" s="6" t="s">
        <v>20</v>
      </c>
      <c r="I10" s="6" t="s">
        <v>20</v>
      </c>
      <c r="J10" s="6" t="s">
        <v>20</v>
      </c>
      <c r="K10" s="6" t="s">
        <v>20</v>
      </c>
      <c r="L10" s="6" t="s">
        <v>20</v>
      </c>
      <c r="M10" s="6" t="s">
        <v>29</v>
      </c>
      <c r="N10" s="6" t="s">
        <v>20</v>
      </c>
      <c r="O10" s="6" t="s">
        <v>20</v>
      </c>
      <c r="P10" s="6" t="s">
        <v>22</v>
      </c>
      <c r="Q10" s="6" t="s">
        <v>20</v>
      </c>
      <c r="R10" s="6" t="s">
        <v>20</v>
      </c>
      <c r="S10" s="6" t="s">
        <v>20</v>
      </c>
      <c r="T10" s="6" t="s">
        <v>20</v>
      </c>
      <c r="U10" s="6" t="s">
        <v>20</v>
      </c>
      <c r="V10" s="6" t="s">
        <v>20</v>
      </c>
      <c r="W10" s="6" t="s">
        <v>22</v>
      </c>
      <c r="X10" s="6" t="s">
        <v>20</v>
      </c>
      <c r="Y10" s="6" t="s">
        <v>20</v>
      </c>
      <c r="Z10" s="6" t="s">
        <v>20</v>
      </c>
      <c r="AA10" s="6" t="s">
        <v>20</v>
      </c>
      <c r="AB10" s="6" t="s">
        <v>20</v>
      </c>
      <c r="AC10" s="6" t="s">
        <v>20</v>
      </c>
      <c r="AD10" s="6" t="s">
        <v>22</v>
      </c>
      <c r="AE10" s="6" t="s">
        <v>20</v>
      </c>
      <c r="AF10" s="6" t="s">
        <v>20</v>
      </c>
      <c r="AG10" s="7"/>
      <c r="AH10" s="8">
        <f t="shared" si="4"/>
        <v>30</v>
      </c>
      <c r="AI10" s="9" t="e">
        <f t="shared" ca="1" si="5"/>
        <v>#NAME?</v>
      </c>
      <c r="AJ10" s="8" t="str">
        <f t="shared" si="6"/>
        <v/>
      </c>
      <c r="AK10" s="8" t="str">
        <f t="shared" si="7"/>
        <v/>
      </c>
      <c r="AL10" s="10">
        <f t="shared" si="8"/>
        <v>4</v>
      </c>
      <c r="AM10" s="11" t="str">
        <f t="shared" si="9"/>
        <v/>
      </c>
      <c r="AN10" s="10" t="str">
        <f t="shared" si="10"/>
        <v/>
      </c>
      <c r="AO10" s="12">
        <f t="shared" si="11"/>
        <v>1</v>
      </c>
      <c r="AP10" s="13" t="str">
        <f t="shared" si="12"/>
        <v/>
      </c>
      <c r="AQ10" s="13" t="e">
        <f t="shared" si="13"/>
        <v>#VALUE!</v>
      </c>
      <c r="AR10" s="14">
        <f t="shared" si="14"/>
        <v>30</v>
      </c>
    </row>
    <row r="11" spans="1:44" ht="15.75" customHeight="1">
      <c r="A11" s="5">
        <v>1515</v>
      </c>
      <c r="B11" s="5" t="s">
        <v>30</v>
      </c>
      <c r="C11" s="6" t="s">
        <v>20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22</v>
      </c>
      <c r="K11" s="6" t="s">
        <v>20</v>
      </c>
      <c r="L11" s="6" t="s">
        <v>20</v>
      </c>
      <c r="M11" s="6" t="s">
        <v>27</v>
      </c>
      <c r="N11" s="6" t="s">
        <v>20</v>
      </c>
      <c r="O11" s="6" t="s">
        <v>20</v>
      </c>
      <c r="P11" s="6" t="s">
        <v>20</v>
      </c>
      <c r="Q11" s="6" t="s">
        <v>20</v>
      </c>
      <c r="R11" s="6" t="s">
        <v>20</v>
      </c>
      <c r="S11" s="6" t="s">
        <v>20</v>
      </c>
      <c r="T11" s="6" t="s">
        <v>20</v>
      </c>
      <c r="U11" s="6" t="s">
        <v>20</v>
      </c>
      <c r="V11" s="6" t="s">
        <v>20</v>
      </c>
      <c r="W11" s="6" t="s">
        <v>20</v>
      </c>
      <c r="X11" s="6" t="s">
        <v>20</v>
      </c>
      <c r="Y11" s="6" t="s">
        <v>20</v>
      </c>
      <c r="Z11" s="6" t="s">
        <v>22</v>
      </c>
      <c r="AA11" s="6" t="s">
        <v>20</v>
      </c>
      <c r="AB11" s="6" t="s">
        <v>20</v>
      </c>
      <c r="AC11" s="6" t="s">
        <v>20</v>
      </c>
      <c r="AD11" s="6" t="s">
        <v>20</v>
      </c>
      <c r="AE11" s="6" t="s">
        <v>20</v>
      </c>
      <c r="AF11" s="6" t="s">
        <v>22</v>
      </c>
      <c r="AG11" s="7"/>
      <c r="AH11" s="8">
        <f t="shared" si="4"/>
        <v>30</v>
      </c>
      <c r="AI11" s="9" t="e">
        <f t="shared" ca="1" si="5"/>
        <v>#NAME?</v>
      </c>
      <c r="AJ11" s="8" t="str">
        <f t="shared" si="6"/>
        <v/>
      </c>
      <c r="AK11" s="8" t="str">
        <f t="shared" si="7"/>
        <v/>
      </c>
      <c r="AL11" s="10">
        <f t="shared" si="8"/>
        <v>3</v>
      </c>
      <c r="AM11" s="11" t="str">
        <f t="shared" si="9"/>
        <v/>
      </c>
      <c r="AN11" s="10" t="str">
        <f t="shared" si="10"/>
        <v/>
      </c>
      <c r="AO11" s="12">
        <f t="shared" si="11"/>
        <v>1</v>
      </c>
      <c r="AP11" s="13" t="str">
        <f t="shared" si="12"/>
        <v/>
      </c>
      <c r="AQ11" s="13" t="e">
        <f t="shared" si="13"/>
        <v>#VALUE!</v>
      </c>
      <c r="AR11" s="14">
        <f t="shared" si="14"/>
        <v>30</v>
      </c>
    </row>
    <row r="12" spans="1:44" ht="15.75" customHeight="1">
      <c r="A12" s="5">
        <v>1517</v>
      </c>
      <c r="B12" s="5" t="s">
        <v>31</v>
      </c>
      <c r="C12" s="6" t="s">
        <v>20</v>
      </c>
      <c r="D12" s="6" t="s">
        <v>20</v>
      </c>
      <c r="E12" s="6" t="s">
        <v>22</v>
      </c>
      <c r="F12" s="6" t="s">
        <v>20</v>
      </c>
      <c r="G12" s="6" t="s">
        <v>20</v>
      </c>
      <c r="H12" s="6" t="s">
        <v>20</v>
      </c>
      <c r="I12" s="6" t="s">
        <v>20</v>
      </c>
      <c r="J12" s="6" t="s">
        <v>20</v>
      </c>
      <c r="K12" s="6" t="s">
        <v>20</v>
      </c>
      <c r="L12" s="6" t="s">
        <v>20</v>
      </c>
      <c r="M12" s="6" t="s">
        <v>32</v>
      </c>
      <c r="N12" s="6" t="s">
        <v>32</v>
      </c>
      <c r="O12" s="6" t="s">
        <v>32</v>
      </c>
      <c r="P12" s="6" t="s">
        <v>32</v>
      </c>
      <c r="Q12" s="6" t="s">
        <v>32</v>
      </c>
      <c r="R12" s="6" t="s">
        <v>32</v>
      </c>
      <c r="S12" s="6" t="s">
        <v>32</v>
      </c>
      <c r="T12" s="6" t="s">
        <v>32</v>
      </c>
      <c r="U12" s="6" t="s">
        <v>32</v>
      </c>
      <c r="V12" s="6" t="s">
        <v>32</v>
      </c>
      <c r="W12" s="6" t="s">
        <v>32</v>
      </c>
      <c r="X12" s="6" t="s">
        <v>32</v>
      </c>
      <c r="Y12" s="6" t="s">
        <v>32</v>
      </c>
      <c r="Z12" s="6" t="s">
        <v>32</v>
      </c>
      <c r="AA12" s="6" t="s">
        <v>32</v>
      </c>
      <c r="AB12" s="6" t="s">
        <v>32</v>
      </c>
      <c r="AC12" s="6" t="s">
        <v>32</v>
      </c>
      <c r="AD12" s="6" t="s">
        <v>32</v>
      </c>
      <c r="AE12" s="6" t="s">
        <v>32</v>
      </c>
      <c r="AF12" s="6" t="s">
        <v>32</v>
      </c>
      <c r="AG12" s="7"/>
      <c r="AH12" s="8">
        <f t="shared" si="4"/>
        <v>10</v>
      </c>
      <c r="AI12" s="9" t="e">
        <f t="shared" ca="1" si="5"/>
        <v>#NAME?</v>
      </c>
      <c r="AJ12" s="8" t="str">
        <f t="shared" si="6"/>
        <v/>
      </c>
      <c r="AK12" s="8" t="str">
        <f t="shared" si="7"/>
        <v/>
      </c>
      <c r="AL12" s="10">
        <f t="shared" si="8"/>
        <v>1</v>
      </c>
      <c r="AM12" s="11">
        <f t="shared" si="9"/>
        <v>20</v>
      </c>
      <c r="AN12" s="10" t="str">
        <f t="shared" si="10"/>
        <v/>
      </c>
      <c r="AO12" s="12" t="str">
        <f t="shared" si="11"/>
        <v/>
      </c>
      <c r="AP12" s="13" t="str">
        <f t="shared" si="12"/>
        <v/>
      </c>
      <c r="AQ12" s="13" t="e">
        <f t="shared" si="13"/>
        <v>#VALUE!</v>
      </c>
      <c r="AR12" s="14">
        <f t="shared" si="14"/>
        <v>10</v>
      </c>
    </row>
    <row r="13" spans="1:44" ht="15.75" customHeight="1">
      <c r="A13" s="5">
        <v>1488</v>
      </c>
      <c r="B13" s="5" t="s">
        <v>33</v>
      </c>
      <c r="C13" s="6" t="s">
        <v>20</v>
      </c>
      <c r="D13" s="6" t="s">
        <v>20</v>
      </c>
      <c r="E13" s="6" t="s">
        <v>20</v>
      </c>
      <c r="F13" s="6" t="s">
        <v>20</v>
      </c>
      <c r="G13" s="6" t="s">
        <v>22</v>
      </c>
      <c r="H13" s="6" t="s">
        <v>20</v>
      </c>
      <c r="I13" s="6" t="s">
        <v>20</v>
      </c>
      <c r="J13" s="6" t="s">
        <v>20</v>
      </c>
      <c r="K13" s="6" t="s">
        <v>20</v>
      </c>
      <c r="L13" s="6" t="s">
        <v>20</v>
      </c>
      <c r="M13" s="6" t="s">
        <v>20</v>
      </c>
      <c r="N13" s="6" t="s">
        <v>22</v>
      </c>
      <c r="O13" s="6" t="s">
        <v>20</v>
      </c>
      <c r="P13" s="6" t="s">
        <v>27</v>
      </c>
      <c r="Q13" s="6" t="s">
        <v>20</v>
      </c>
      <c r="R13" s="6" t="s">
        <v>21</v>
      </c>
      <c r="S13" s="6" t="s">
        <v>20</v>
      </c>
      <c r="T13" s="6" t="s">
        <v>20</v>
      </c>
      <c r="U13" s="6" t="s">
        <v>22</v>
      </c>
      <c r="V13" s="6" t="s">
        <v>20</v>
      </c>
      <c r="W13" s="6" t="s">
        <v>20</v>
      </c>
      <c r="X13" s="6" t="s">
        <v>21</v>
      </c>
      <c r="Y13" s="6" t="s">
        <v>20</v>
      </c>
      <c r="Z13" s="6" t="s">
        <v>20</v>
      </c>
      <c r="AA13" s="6" t="s">
        <v>20</v>
      </c>
      <c r="AB13" s="6" t="s">
        <v>22</v>
      </c>
      <c r="AC13" s="6" t="s">
        <v>20</v>
      </c>
      <c r="AD13" s="6" t="s">
        <v>20</v>
      </c>
      <c r="AE13" s="6" t="s">
        <v>20</v>
      </c>
      <c r="AF13" s="6" t="s">
        <v>20</v>
      </c>
      <c r="AG13" s="7"/>
      <c r="AH13" s="8">
        <f t="shared" si="4"/>
        <v>30</v>
      </c>
      <c r="AI13" s="9" t="e">
        <f t="shared" ca="1" si="5"/>
        <v>#NAME?</v>
      </c>
      <c r="AJ13" s="8" t="str">
        <f t="shared" si="6"/>
        <v/>
      </c>
      <c r="AK13" s="8">
        <f t="shared" si="7"/>
        <v>1</v>
      </c>
      <c r="AL13" s="10">
        <f t="shared" si="8"/>
        <v>4</v>
      </c>
      <c r="AM13" s="11" t="str">
        <f t="shared" si="9"/>
        <v/>
      </c>
      <c r="AN13" s="10" t="str">
        <f t="shared" si="10"/>
        <v/>
      </c>
      <c r="AO13" s="12">
        <f t="shared" si="11"/>
        <v>1</v>
      </c>
      <c r="AP13" s="13" t="str">
        <f t="shared" si="12"/>
        <v/>
      </c>
      <c r="AQ13" s="13" t="e">
        <f t="shared" si="13"/>
        <v>#VALUE!</v>
      </c>
      <c r="AR13" s="14">
        <f t="shared" si="14"/>
        <v>30</v>
      </c>
    </row>
    <row r="14" spans="1:44" ht="15.75" customHeight="1">
      <c r="A14" s="5">
        <v>1452</v>
      </c>
      <c r="B14" s="5" t="s">
        <v>34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6" t="s">
        <v>20</v>
      </c>
      <c r="W14" s="6" t="s">
        <v>22</v>
      </c>
      <c r="X14" s="6" t="s">
        <v>20</v>
      </c>
      <c r="Y14" s="6" t="s">
        <v>20</v>
      </c>
      <c r="Z14" s="6" t="s">
        <v>20</v>
      </c>
      <c r="AA14" s="6" t="s">
        <v>20</v>
      </c>
      <c r="AB14" s="6" t="s">
        <v>20</v>
      </c>
      <c r="AC14" s="6" t="s">
        <v>20</v>
      </c>
      <c r="AD14" s="6" t="s">
        <v>22</v>
      </c>
      <c r="AE14" s="6" t="s">
        <v>20</v>
      </c>
      <c r="AF14" s="6" t="s">
        <v>20</v>
      </c>
      <c r="AG14" s="7"/>
      <c r="AH14" s="8">
        <f t="shared" si="4"/>
        <v>11</v>
      </c>
      <c r="AI14" s="9" t="e">
        <f t="shared" ca="1" si="5"/>
        <v>#NAME?</v>
      </c>
      <c r="AJ14" s="8" t="str">
        <f t="shared" si="6"/>
        <v/>
      </c>
      <c r="AK14" s="8" t="str">
        <f t="shared" si="7"/>
        <v/>
      </c>
      <c r="AL14" s="10">
        <f t="shared" si="8"/>
        <v>2</v>
      </c>
      <c r="AM14" s="11" t="str">
        <f t="shared" si="9"/>
        <v/>
      </c>
      <c r="AN14" s="10" t="str">
        <f t="shared" si="10"/>
        <v/>
      </c>
      <c r="AO14" s="12" t="str">
        <f t="shared" si="11"/>
        <v/>
      </c>
      <c r="AP14" s="13" t="str">
        <f t="shared" si="12"/>
        <v/>
      </c>
      <c r="AQ14" s="13" t="e">
        <f t="shared" si="13"/>
        <v>#VALUE!</v>
      </c>
      <c r="AR14" s="14">
        <f t="shared" si="14"/>
        <v>11</v>
      </c>
    </row>
    <row r="15" spans="1:44" ht="15.75" customHeight="1">
      <c r="A15" s="16"/>
      <c r="B15" s="1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8" t="str">
        <f t="shared" si="4"/>
        <v/>
      </c>
      <c r="AI15" s="9" t="e">
        <f t="shared" ca="1" si="5"/>
        <v>#NAME?</v>
      </c>
      <c r="AJ15" s="8" t="str">
        <f t="shared" si="6"/>
        <v/>
      </c>
      <c r="AK15" s="8" t="str">
        <f t="shared" si="7"/>
        <v/>
      </c>
      <c r="AL15" s="10" t="str">
        <f t="shared" si="8"/>
        <v/>
      </c>
      <c r="AM15" s="11" t="str">
        <f t="shared" si="9"/>
        <v/>
      </c>
      <c r="AN15" s="10" t="str">
        <f t="shared" si="10"/>
        <v/>
      </c>
      <c r="AO15" s="12" t="str">
        <f t="shared" si="11"/>
        <v/>
      </c>
      <c r="AP15" s="13" t="str">
        <f t="shared" si="12"/>
        <v/>
      </c>
      <c r="AQ15" s="13" t="e">
        <f t="shared" si="13"/>
        <v>#VALUE!</v>
      </c>
      <c r="AR15" s="14" t="str">
        <f t="shared" si="14"/>
        <v/>
      </c>
    </row>
    <row r="16" spans="1:44" ht="15.75" customHeight="1">
      <c r="A16" s="16"/>
      <c r="B16" s="1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8" t="str">
        <f t="shared" si="4"/>
        <v/>
      </c>
      <c r="AI16" s="9" t="e">
        <f t="shared" ca="1" si="5"/>
        <v>#NAME?</v>
      </c>
      <c r="AJ16" s="8" t="str">
        <f t="shared" si="6"/>
        <v/>
      </c>
      <c r="AK16" s="8" t="str">
        <f t="shared" si="7"/>
        <v/>
      </c>
      <c r="AL16" s="10" t="str">
        <f t="shared" si="8"/>
        <v/>
      </c>
      <c r="AM16" s="11" t="str">
        <f t="shared" si="9"/>
        <v/>
      </c>
      <c r="AN16" s="10" t="str">
        <f t="shared" si="10"/>
        <v/>
      </c>
      <c r="AO16" s="12" t="str">
        <f t="shared" si="11"/>
        <v/>
      </c>
      <c r="AP16" s="13" t="str">
        <f t="shared" si="12"/>
        <v/>
      </c>
      <c r="AQ16" s="13" t="e">
        <f t="shared" si="13"/>
        <v>#VALUE!</v>
      </c>
      <c r="AR16" s="14" t="str">
        <f t="shared" si="14"/>
        <v/>
      </c>
    </row>
    <row r="17" spans="1:44" ht="15.75" customHeight="1">
      <c r="A17" s="16"/>
      <c r="B17" s="1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6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8" t="str">
        <f t="shared" si="4"/>
        <v/>
      </c>
      <c r="AI17" s="9" t="e">
        <f t="shared" ca="1" si="5"/>
        <v>#NAME?</v>
      </c>
      <c r="AJ17" s="8" t="str">
        <f t="shared" si="6"/>
        <v/>
      </c>
      <c r="AK17" s="8" t="str">
        <f t="shared" si="7"/>
        <v/>
      </c>
      <c r="AL17" s="10" t="str">
        <f t="shared" si="8"/>
        <v/>
      </c>
      <c r="AM17" s="11" t="str">
        <f t="shared" si="9"/>
        <v/>
      </c>
      <c r="AN17" s="10" t="str">
        <f t="shared" si="10"/>
        <v/>
      </c>
      <c r="AO17" s="12" t="str">
        <f t="shared" si="11"/>
        <v/>
      </c>
      <c r="AP17" s="13" t="str">
        <f t="shared" si="12"/>
        <v/>
      </c>
      <c r="AQ17" s="13" t="e">
        <f t="shared" si="13"/>
        <v>#VALUE!</v>
      </c>
      <c r="AR17" s="14" t="str">
        <f t="shared" si="14"/>
        <v/>
      </c>
    </row>
    <row r="18" spans="1:44" ht="15.75" customHeight="1">
      <c r="A18" s="16"/>
      <c r="B18" s="1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8" t="str">
        <f t="shared" si="4"/>
        <v/>
      </c>
      <c r="AI18" s="9" t="e">
        <f t="shared" ca="1" si="5"/>
        <v>#NAME?</v>
      </c>
      <c r="AJ18" s="8" t="str">
        <f t="shared" si="6"/>
        <v/>
      </c>
      <c r="AK18" s="8" t="str">
        <f t="shared" si="7"/>
        <v/>
      </c>
      <c r="AL18" s="10" t="str">
        <f t="shared" si="8"/>
        <v/>
      </c>
      <c r="AM18" s="11" t="str">
        <f t="shared" si="9"/>
        <v/>
      </c>
      <c r="AN18" s="10" t="str">
        <f t="shared" si="10"/>
        <v/>
      </c>
      <c r="AO18" s="12" t="str">
        <f t="shared" si="11"/>
        <v/>
      </c>
      <c r="AP18" s="13" t="str">
        <f t="shared" si="12"/>
        <v/>
      </c>
      <c r="AQ18" s="13" t="e">
        <f t="shared" si="13"/>
        <v>#VALUE!</v>
      </c>
      <c r="AR18" s="14" t="str">
        <f t="shared" si="14"/>
        <v/>
      </c>
    </row>
    <row r="19" spans="1:44" ht="15.75" customHeight="1">
      <c r="A19" s="16"/>
      <c r="B19" s="1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8" t="str">
        <f t="shared" si="4"/>
        <v/>
      </c>
      <c r="AI19" s="9" t="e">
        <f t="shared" ca="1" si="5"/>
        <v>#NAME?</v>
      </c>
      <c r="AJ19" s="8" t="str">
        <f t="shared" si="6"/>
        <v/>
      </c>
      <c r="AK19" s="8" t="str">
        <f t="shared" si="7"/>
        <v/>
      </c>
      <c r="AL19" s="10" t="str">
        <f t="shared" si="8"/>
        <v/>
      </c>
      <c r="AM19" s="11" t="str">
        <f t="shared" si="9"/>
        <v/>
      </c>
      <c r="AN19" s="10" t="str">
        <f t="shared" si="10"/>
        <v/>
      </c>
      <c r="AO19" s="12" t="str">
        <f t="shared" si="11"/>
        <v/>
      </c>
      <c r="AP19" s="13" t="str">
        <f t="shared" si="12"/>
        <v/>
      </c>
      <c r="AQ19" s="13" t="e">
        <f t="shared" si="13"/>
        <v>#VALUE!</v>
      </c>
      <c r="AR19" s="14" t="str">
        <f t="shared" si="14"/>
        <v/>
      </c>
    </row>
    <row r="20" spans="1:44" ht="15.75" customHeight="1">
      <c r="A20" s="16"/>
      <c r="B20" s="1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8" t="str">
        <f t="shared" si="4"/>
        <v/>
      </c>
      <c r="AI20" s="9" t="e">
        <f t="shared" ca="1" si="5"/>
        <v>#NAME?</v>
      </c>
      <c r="AJ20" s="8" t="str">
        <f t="shared" si="6"/>
        <v/>
      </c>
      <c r="AK20" s="8" t="str">
        <f t="shared" si="7"/>
        <v/>
      </c>
      <c r="AL20" s="10" t="str">
        <f t="shared" si="8"/>
        <v/>
      </c>
      <c r="AM20" s="11" t="str">
        <f t="shared" si="9"/>
        <v/>
      </c>
      <c r="AN20" s="10" t="str">
        <f t="shared" si="10"/>
        <v/>
      </c>
      <c r="AO20" s="12" t="str">
        <f t="shared" si="11"/>
        <v/>
      </c>
      <c r="AP20" s="13" t="str">
        <f t="shared" si="12"/>
        <v/>
      </c>
      <c r="AQ20" s="13" t="e">
        <f t="shared" si="13"/>
        <v>#VALUE!</v>
      </c>
      <c r="AR20" s="14" t="str">
        <f t="shared" si="14"/>
        <v/>
      </c>
    </row>
    <row r="21" spans="1:44" ht="15.75" customHeight="1">
      <c r="A21" s="16"/>
      <c r="B21" s="1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18"/>
      <c r="W21" s="18"/>
      <c r="X21" s="18"/>
      <c r="Y21" s="18"/>
      <c r="Z21" s="18"/>
      <c r="AA21" s="7"/>
      <c r="AB21" s="7"/>
      <c r="AC21" s="7"/>
      <c r="AD21" s="7"/>
      <c r="AE21" s="7"/>
      <c r="AF21" s="7"/>
      <c r="AG21" s="7"/>
      <c r="AH21" s="8" t="str">
        <f t="shared" si="4"/>
        <v/>
      </c>
      <c r="AI21" s="9" t="e">
        <f t="shared" ca="1" si="5"/>
        <v>#NAME?</v>
      </c>
      <c r="AJ21" s="8" t="str">
        <f t="shared" si="6"/>
        <v/>
      </c>
      <c r="AK21" s="8" t="str">
        <f t="shared" si="7"/>
        <v/>
      </c>
      <c r="AL21" s="10" t="str">
        <f t="shared" si="8"/>
        <v/>
      </c>
      <c r="AM21" s="11" t="str">
        <f t="shared" si="9"/>
        <v/>
      </c>
      <c r="AN21" s="10" t="str">
        <f t="shared" si="10"/>
        <v/>
      </c>
      <c r="AO21" s="12" t="str">
        <f t="shared" si="11"/>
        <v/>
      </c>
      <c r="AP21" s="13" t="str">
        <f t="shared" si="12"/>
        <v/>
      </c>
      <c r="AQ21" s="13" t="e">
        <f t="shared" si="13"/>
        <v>#VALUE!</v>
      </c>
      <c r="AR21" s="14" t="str">
        <f t="shared" si="14"/>
        <v/>
      </c>
    </row>
    <row r="22" spans="1:44" ht="15.75" customHeight="1">
      <c r="A22" s="16"/>
      <c r="B22" s="1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18"/>
      <c r="W22" s="18"/>
      <c r="X22" s="18"/>
      <c r="Y22" s="18"/>
      <c r="Z22" s="18"/>
      <c r="AA22" s="7"/>
      <c r="AB22" s="7"/>
      <c r="AC22" s="7"/>
      <c r="AD22" s="7"/>
      <c r="AE22" s="7"/>
      <c r="AF22" s="7"/>
      <c r="AG22" s="7"/>
      <c r="AH22" s="8" t="str">
        <f t="shared" si="4"/>
        <v/>
      </c>
      <c r="AI22" s="9" t="e">
        <f t="shared" ca="1" si="5"/>
        <v>#NAME?</v>
      </c>
      <c r="AJ22" s="8" t="str">
        <f t="shared" si="6"/>
        <v/>
      </c>
      <c r="AK22" s="8" t="str">
        <f t="shared" si="7"/>
        <v/>
      </c>
      <c r="AL22" s="10" t="str">
        <f t="shared" si="8"/>
        <v/>
      </c>
      <c r="AM22" s="11" t="str">
        <f t="shared" si="9"/>
        <v/>
      </c>
      <c r="AN22" s="10" t="str">
        <f t="shared" si="10"/>
        <v/>
      </c>
      <c r="AO22" s="12" t="str">
        <f t="shared" si="11"/>
        <v/>
      </c>
      <c r="AP22" s="13" t="str">
        <f t="shared" si="12"/>
        <v/>
      </c>
      <c r="AQ22" s="13" t="e">
        <f t="shared" si="13"/>
        <v>#VALUE!</v>
      </c>
      <c r="AR22" s="14" t="str">
        <f t="shared" si="14"/>
        <v/>
      </c>
    </row>
    <row r="23" spans="1:44" ht="15.75" customHeight="1">
      <c r="A23" s="1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18"/>
      <c r="W23" s="18"/>
      <c r="X23" s="18"/>
      <c r="Y23" s="18"/>
      <c r="Z23" s="18"/>
      <c r="AA23" s="7"/>
      <c r="AB23" s="7"/>
      <c r="AC23" s="7"/>
      <c r="AD23" s="7"/>
      <c r="AE23" s="7"/>
      <c r="AF23" s="7"/>
      <c r="AG23" s="7"/>
      <c r="AH23" s="8" t="str">
        <f t="shared" si="4"/>
        <v/>
      </c>
      <c r="AI23" s="9" t="e">
        <f t="shared" ca="1" si="5"/>
        <v>#NAME?</v>
      </c>
      <c r="AJ23" s="8" t="str">
        <f t="shared" si="6"/>
        <v/>
      </c>
      <c r="AK23" s="8" t="str">
        <f t="shared" si="7"/>
        <v/>
      </c>
      <c r="AL23" s="10" t="str">
        <f t="shared" si="8"/>
        <v/>
      </c>
      <c r="AM23" s="11" t="str">
        <f t="shared" si="9"/>
        <v/>
      </c>
      <c r="AN23" s="10" t="str">
        <f t="shared" si="10"/>
        <v/>
      </c>
      <c r="AO23" s="12" t="str">
        <f t="shared" si="11"/>
        <v/>
      </c>
      <c r="AP23" s="13" t="str">
        <f t="shared" si="12"/>
        <v/>
      </c>
      <c r="AQ23" s="13" t="e">
        <f t="shared" si="13"/>
        <v>#VALUE!</v>
      </c>
      <c r="AR23" s="14" t="str">
        <f t="shared" si="14"/>
        <v/>
      </c>
    </row>
    <row r="24" spans="1:44" ht="15.75" customHeight="1">
      <c r="A24" s="1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18"/>
      <c r="W24" s="18"/>
      <c r="X24" s="18"/>
      <c r="Y24" s="18"/>
      <c r="Z24" s="18"/>
      <c r="AA24" s="7"/>
      <c r="AB24" s="7"/>
      <c r="AC24" s="7"/>
      <c r="AD24" s="7"/>
      <c r="AE24" s="7"/>
      <c r="AF24" s="7"/>
      <c r="AG24" s="7"/>
      <c r="AH24" s="8" t="str">
        <f t="shared" si="4"/>
        <v/>
      </c>
      <c r="AI24" s="9" t="e">
        <f t="shared" ca="1" si="5"/>
        <v>#NAME?</v>
      </c>
      <c r="AJ24" s="8" t="str">
        <f t="shared" si="6"/>
        <v/>
      </c>
      <c r="AK24" s="8" t="str">
        <f t="shared" si="7"/>
        <v/>
      </c>
      <c r="AL24" s="10" t="str">
        <f t="shared" si="8"/>
        <v/>
      </c>
      <c r="AM24" s="11" t="str">
        <f t="shared" si="9"/>
        <v/>
      </c>
      <c r="AN24" s="10" t="str">
        <f t="shared" si="10"/>
        <v/>
      </c>
      <c r="AO24" s="12" t="str">
        <f t="shared" si="11"/>
        <v/>
      </c>
      <c r="AP24" s="13" t="str">
        <f t="shared" si="12"/>
        <v/>
      </c>
      <c r="AQ24" s="13" t="e">
        <f t="shared" si="13"/>
        <v>#VALUE!</v>
      </c>
      <c r="AR24" s="14" t="str">
        <f t="shared" si="14"/>
        <v/>
      </c>
    </row>
    <row r="25" spans="1:44" ht="15.75" customHeight="1">
      <c r="A25" s="1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18"/>
      <c r="W25" s="18"/>
      <c r="X25" s="18"/>
      <c r="Y25" s="18"/>
      <c r="Z25" s="18"/>
      <c r="AA25" s="7"/>
      <c r="AB25" s="7"/>
      <c r="AC25" s="7"/>
      <c r="AD25" s="7"/>
      <c r="AE25" s="7"/>
      <c r="AF25" s="7"/>
      <c r="AG25" s="7"/>
      <c r="AH25" s="8" t="str">
        <f t="shared" si="4"/>
        <v/>
      </c>
      <c r="AI25" s="9" t="e">
        <f t="shared" ca="1" si="5"/>
        <v>#NAME?</v>
      </c>
      <c r="AJ25" s="8" t="str">
        <f t="shared" si="6"/>
        <v/>
      </c>
      <c r="AK25" s="8" t="str">
        <f t="shared" si="7"/>
        <v/>
      </c>
      <c r="AL25" s="10" t="str">
        <f t="shared" si="8"/>
        <v/>
      </c>
      <c r="AM25" s="11" t="str">
        <f t="shared" si="9"/>
        <v/>
      </c>
      <c r="AN25" s="10" t="str">
        <f t="shared" si="10"/>
        <v/>
      </c>
      <c r="AO25" s="12" t="str">
        <f t="shared" si="11"/>
        <v/>
      </c>
      <c r="AP25" s="13" t="str">
        <f t="shared" si="12"/>
        <v/>
      </c>
      <c r="AQ25" s="13" t="e">
        <f t="shared" si="13"/>
        <v>#VALUE!</v>
      </c>
      <c r="AR25" s="14" t="str">
        <f t="shared" si="14"/>
        <v/>
      </c>
    </row>
    <row r="26" spans="1:44" ht="15.75" customHeight="1">
      <c r="A26" s="1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18"/>
      <c r="W26" s="18"/>
      <c r="X26" s="18"/>
      <c r="Y26" s="18"/>
      <c r="Z26" s="18"/>
      <c r="AA26" s="7"/>
      <c r="AB26" s="7"/>
      <c r="AC26" s="7"/>
      <c r="AD26" s="7"/>
      <c r="AE26" s="7"/>
      <c r="AF26" s="7"/>
      <c r="AG26" s="7"/>
      <c r="AH26" s="8" t="str">
        <f t="shared" si="4"/>
        <v/>
      </c>
      <c r="AI26" s="9" t="e">
        <f t="shared" ca="1" si="5"/>
        <v>#NAME?</v>
      </c>
      <c r="AJ26" s="8" t="str">
        <f t="shared" si="6"/>
        <v/>
      </c>
      <c r="AK26" s="8" t="str">
        <f t="shared" si="7"/>
        <v/>
      </c>
      <c r="AL26" s="10" t="str">
        <f t="shared" si="8"/>
        <v/>
      </c>
      <c r="AM26" s="11" t="str">
        <f t="shared" si="9"/>
        <v/>
      </c>
      <c r="AN26" s="10" t="str">
        <f t="shared" si="10"/>
        <v/>
      </c>
      <c r="AO26" s="12" t="str">
        <f t="shared" si="11"/>
        <v/>
      </c>
      <c r="AP26" s="13" t="str">
        <f t="shared" si="12"/>
        <v/>
      </c>
      <c r="AQ26" s="13" t="e">
        <f t="shared" si="13"/>
        <v>#VALUE!</v>
      </c>
      <c r="AR26" s="14" t="str">
        <f t="shared" si="14"/>
        <v/>
      </c>
    </row>
    <row r="27" spans="1:44" ht="15.75" customHeight="1">
      <c r="A27" s="1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8" t="str">
        <f t="shared" si="4"/>
        <v/>
      </c>
      <c r="AI27" s="9" t="e">
        <f t="shared" ca="1" si="5"/>
        <v>#NAME?</v>
      </c>
      <c r="AJ27" s="8" t="str">
        <f t="shared" si="6"/>
        <v/>
      </c>
      <c r="AK27" s="8" t="str">
        <f t="shared" si="7"/>
        <v/>
      </c>
      <c r="AL27" s="10" t="str">
        <f t="shared" si="8"/>
        <v/>
      </c>
      <c r="AM27" s="11" t="str">
        <f t="shared" si="9"/>
        <v/>
      </c>
      <c r="AN27" s="10" t="str">
        <f t="shared" si="10"/>
        <v/>
      </c>
      <c r="AO27" s="12" t="str">
        <f t="shared" si="11"/>
        <v/>
      </c>
      <c r="AP27" s="13" t="str">
        <f t="shared" si="12"/>
        <v/>
      </c>
      <c r="AQ27" s="13" t="e">
        <f t="shared" si="13"/>
        <v>#VALUE!</v>
      </c>
      <c r="AR27" s="14" t="str">
        <f t="shared" si="14"/>
        <v/>
      </c>
    </row>
    <row r="28" spans="1:44" ht="15.75" customHeight="1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 spans="1:44" ht="15.75" customHeight="1">
      <c r="A29" s="21" t="s">
        <v>35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 spans="1:44" ht="15.75" customHeight="1">
      <c r="A30" s="23">
        <v>1</v>
      </c>
      <c r="B30" s="4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 spans="1:44" ht="15.75" customHeight="1">
      <c r="A31" s="23">
        <v>2</v>
      </c>
      <c r="B31" s="42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 spans="1:44" ht="15.75" customHeight="1">
      <c r="A32" s="23">
        <v>3</v>
      </c>
      <c r="B32" s="42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 t="s">
        <v>36</v>
      </c>
    </row>
    <row r="33" spans="1:32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 spans="1:32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 spans="1:32" ht="15.75" customHeight="1">
      <c r="A35" s="22"/>
      <c r="B35" s="43" t="s">
        <v>37</v>
      </c>
      <c r="C35" s="40"/>
      <c r="D35" s="22"/>
      <c r="E35" s="22"/>
      <c r="F35" s="22"/>
      <c r="G35" s="24">
        <f ca="1">DAY(EOMONTH(B2,0))</f>
        <v>31</v>
      </c>
      <c r="H35" s="25">
        <f ca="1">IF(G35=31, 30, IF(G35=30, 29, 27))</f>
        <v>30</v>
      </c>
      <c r="I35" s="22"/>
      <c r="J35" s="22"/>
      <c r="K35" s="22"/>
      <c r="L35" s="22"/>
      <c r="M35" s="22"/>
      <c r="N35" s="22"/>
      <c r="O35" s="22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spans="1:32" ht="15.75" customHeight="1">
      <c r="A36" s="22"/>
      <c r="B36" s="44" t="s">
        <v>19</v>
      </c>
      <c r="C36" s="33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spans="1:32" ht="15.75" customHeight="1">
      <c r="A37" s="22"/>
      <c r="B37" s="34"/>
      <c r="C37" s="35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1:32" ht="15.75" customHeight="1"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1:32" ht="15.75" customHeight="1"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 spans="1:32" ht="15.75" customHeight="1"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spans="1:32" ht="15.75" customHeight="1"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 spans="1:32" ht="15.75" customHeight="1"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1:32" ht="15.75" customHeight="1"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 spans="1:32" ht="15.75" customHeight="1"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spans="1:32" ht="15.75" customHeight="1"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 spans="1:32" ht="15.75" customHeight="1"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spans="1:32" ht="15.75" customHeight="1"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 spans="1:32" ht="15.75" customHeight="1"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3:32" ht="15.75" customHeight="1"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spans="3:32" ht="15.75" customHeight="1"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spans="3:32" ht="15.75" customHeight="1"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spans="3:32" ht="15.75" customHeight="1"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3:32" ht="15.75" customHeight="1"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spans="3:32" ht="15.75" customHeight="1"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3:32" ht="15.75" customHeight="1"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spans="3:32" ht="15.75" customHeight="1"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spans="3:32" ht="15.75" customHeight="1"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spans="3:32" ht="15.75" customHeight="1"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spans="3:32" ht="15.75" customHeight="1"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 spans="3:32" ht="15.75" customHeight="1"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spans="3:32" ht="15.75" customHeight="1"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 spans="3:32" ht="15.75" customHeight="1"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spans="3:32" ht="15.75" customHeight="1"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 spans="3:32" ht="15.75" customHeight="1"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spans="3:32" ht="15.75" customHeight="1"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spans="3:32" ht="15.75" customHeight="1"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spans="3:32" ht="15.75" customHeight="1"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 spans="3:32" ht="15.75" customHeight="1"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 spans="3:32" ht="15.75" customHeight="1"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spans="3:32" ht="15.75" customHeight="1"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spans="3:32" ht="15.75" customHeight="1"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 spans="3:32" ht="15.75" customHeight="1"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spans="3:32" ht="15.75" customHeight="1"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 spans="3:32" ht="15.75" customHeight="1"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spans="3:32" ht="15.75" customHeight="1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 spans="3:32" ht="15.75" customHeight="1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 spans="3:32" ht="15.75" customHeight="1"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 spans="3:32" ht="15.75" customHeight="1"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spans="3:32" ht="15.75" customHeight="1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 spans="3:32" ht="15.75" customHeight="1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spans="3:32" ht="15.75" customHeight="1"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 spans="3:32" ht="15.75" customHeight="1"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spans="3:32" ht="15.75" customHeight="1"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spans="3:32" ht="15.75" customHeight="1"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 spans="3:32" ht="15.75" customHeight="1"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3:32" ht="15.75" customHeight="1"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 spans="3:32" ht="15.75" customHeight="1"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 spans="3:32" ht="15.75" customHeight="1"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 spans="3:32" ht="15.75" customHeight="1"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 spans="3:32" ht="15.75" customHeight="1"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 spans="3:32" ht="15.75" customHeight="1"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 spans="3:32" ht="15.75" customHeight="1"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 spans="3:32" ht="15.75" customHeight="1"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 spans="3:32" ht="15.75" customHeight="1"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 spans="3:32" ht="15.75" customHeight="1"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 spans="3:32" ht="15.75" customHeight="1"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 spans="3:32" ht="15.75" customHeight="1"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 spans="3:32" ht="15.75" customHeight="1"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 spans="3:32" ht="15.75" customHeight="1"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 spans="3:32" ht="15.75" customHeight="1"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 spans="3:32" ht="15.75" customHeight="1"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 spans="3:32" ht="15.75" customHeight="1"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 spans="3:32" ht="15.75" customHeight="1"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 spans="3:32" ht="15.75" customHeight="1"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spans="3:32" ht="15.75" customHeight="1"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 spans="3:32" ht="15.75" customHeight="1"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 spans="3:32" ht="15.75" customHeight="1"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 spans="3:32" ht="15.75" customHeight="1"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 spans="3:32" ht="15.75" customHeight="1"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 spans="3:32" ht="15.75" customHeight="1"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 spans="3:32" ht="15.75" customHeight="1"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 spans="3:32" ht="15.75" customHeight="1"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 spans="3:32" ht="15.75" customHeight="1"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 spans="3:32" ht="15.75" customHeight="1"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 spans="3:32" ht="15.75" customHeight="1"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 spans="3:32" ht="15.75" customHeight="1"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 spans="3:32" ht="15.75" customHeight="1"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 spans="3:32" ht="15.75" customHeight="1"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 spans="3:32" ht="15.75" customHeight="1"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 spans="3:32" ht="15.75" customHeight="1"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 spans="3:32" ht="15.75" customHeight="1"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 spans="3:32" ht="15.75" customHeight="1"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 spans="3:32" ht="15.75" customHeight="1"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 spans="3:32" ht="15.75" customHeight="1"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spans="3:32" ht="15.75" customHeight="1"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 spans="3:32" ht="15.75" customHeight="1"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 spans="3:32" ht="15.75" customHeight="1"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 spans="3:32" ht="15.75" customHeight="1"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 spans="3:32" ht="15.75" customHeight="1"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 spans="3:32" ht="15.75" customHeight="1"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 spans="3:32" ht="15.75" customHeight="1"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 spans="3:32" ht="15.75" customHeight="1"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 spans="3:32" ht="15.75" customHeight="1"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 spans="3:32" ht="15.75" customHeight="1"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 spans="3:32" ht="15.75" customHeight="1"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 spans="3:32" ht="15.75" customHeight="1"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 spans="3:32" ht="15.75" customHeight="1"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 spans="3:32" ht="15.75" customHeight="1"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 spans="3:32" ht="15.75" customHeight="1"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 spans="3:32" ht="15.75" customHeight="1"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 spans="3:32" ht="15.75" customHeight="1"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 spans="3:32" ht="15.75" customHeight="1"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 spans="3:32" ht="15.75" customHeight="1"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 spans="3:32" ht="15.75" customHeight="1"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 spans="3:32" ht="15.75" customHeight="1"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 spans="3:32" ht="15.75" customHeight="1"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 spans="3:32" ht="15.75" customHeight="1"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 spans="3:32" ht="15.75" customHeight="1"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 spans="3:32" ht="15.75" customHeight="1"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 spans="3:32" ht="15.75" customHeight="1"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 spans="3:32" ht="15.75" customHeight="1"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 spans="3:32" ht="15.75" customHeight="1"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 spans="3:32" ht="15.75" customHeight="1"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 spans="3:32" ht="15.75" customHeight="1"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 spans="3:32" ht="15.75" customHeight="1"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 spans="3:32" ht="15.75" customHeight="1"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 spans="3:32" ht="15.75" customHeight="1"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 spans="3:32" ht="15.75" customHeight="1"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 spans="3:32" ht="15.75" customHeight="1"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 spans="3:32" ht="15.75" customHeight="1"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 spans="3:32" ht="15.75" customHeight="1"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 spans="3:32" ht="15.75" customHeight="1"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spans="3:32" ht="15.75" customHeight="1"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 spans="3:32" ht="15.75" customHeight="1"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 spans="3:32" ht="15.75" customHeight="1"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 spans="3:32" ht="15.75" customHeight="1"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 spans="3:32" ht="15.75" customHeight="1"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 spans="3:32" ht="15.75" customHeight="1"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 spans="3:32" ht="15.75" customHeight="1"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 spans="3:32" ht="15.75" customHeight="1"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 spans="3:32" ht="15.75" customHeight="1"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 spans="3:32" ht="15.75" customHeight="1"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 spans="3:32" ht="15.75" customHeight="1"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 spans="3:32" ht="15.75" customHeight="1"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 spans="3:32" ht="15.75" customHeight="1"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 spans="3:32" ht="15.75" customHeight="1"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 spans="3:32" ht="15.75" customHeight="1"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 spans="3:32" ht="15.75" customHeight="1"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 spans="3:32" ht="15.75" customHeight="1"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 spans="3:32" ht="15.75" customHeight="1"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 spans="3:32" ht="15.75" customHeight="1"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 spans="3:32" ht="15.75" customHeight="1"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 spans="3:32" ht="15.75" customHeight="1"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 spans="3:32" ht="15.75" customHeight="1"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 spans="3:32" ht="15.75" customHeight="1"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 spans="3:32" ht="15.75" customHeight="1"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 spans="3:32" ht="15.75" customHeight="1"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 spans="3:32" ht="15.75" customHeight="1"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 spans="3:32" ht="15.75" customHeight="1"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spans="3:32" ht="15.75" customHeight="1"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 spans="3:32" ht="15.75" customHeight="1"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 spans="3:32" ht="15.75" customHeight="1"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spans="3:32" ht="15.75" customHeight="1"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3:32" ht="15.75" customHeight="1"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3:32" ht="15.75" customHeight="1"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3:32" ht="15.75" customHeight="1"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3:32" ht="15.75" customHeight="1"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3:32" ht="15.75" customHeight="1"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3:32" ht="15.75" customHeight="1"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3:32" ht="15.75" customHeight="1"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3:32" ht="15.75" customHeight="1"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3:32" ht="15.75" customHeight="1"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3:32" ht="15.75" customHeight="1"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3:32" ht="15.75" customHeight="1"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3:32" ht="15.75" customHeight="1"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3:32" ht="15.75" customHeight="1"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3:32" ht="15.75" customHeight="1"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3:32" ht="15.75" customHeight="1"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3:32" ht="15.75" customHeight="1"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3:32" ht="15.75" customHeight="1"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3:32" ht="15.75" customHeight="1"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3:32" ht="15.75" customHeight="1"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3:32" ht="15.75" customHeight="1"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3:32" ht="15.75" customHeight="1"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3:32" ht="15.75" customHeight="1"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3:32" ht="15.75" customHeight="1"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3:32" ht="15.75" customHeight="1"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3:32" ht="15.75" customHeight="1"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3:32" ht="15.75" customHeight="1"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3:32" ht="15.75" customHeight="1"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3:32" ht="15.75" customHeight="1"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3:32" ht="15.75" customHeight="1"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3:32" ht="15.75" customHeight="1"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3:32" ht="15.75" customHeight="1"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3:32" ht="15.75" customHeight="1"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spans="3:32" ht="15.75" customHeight="1"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spans="3:32" ht="15.75" customHeight="1"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3:32" ht="15.75" customHeight="1"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spans="3:32" ht="15.75" customHeight="1"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spans="3:32" ht="15.75" customHeight="1"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 spans="3:32" ht="15.75" customHeight="1"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spans="3:32" ht="15.75" customHeight="1"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spans="3:32" ht="15.75" customHeight="1"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spans="3:32" ht="15.75" customHeight="1"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 spans="3:32" ht="15.75" customHeight="1"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 spans="3:32" ht="15.75" customHeight="1"/>
    <row r="237" spans="3:32" ht="15.75" customHeight="1"/>
    <row r="238" spans="3:32" ht="15.75" customHeight="1"/>
    <row r="239" spans="3:32" ht="15.75" customHeight="1"/>
    <row r="240" spans="3:3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B30:O30"/>
    <mergeCell ref="B31:O31"/>
    <mergeCell ref="B32:O32"/>
    <mergeCell ref="B35:C35"/>
    <mergeCell ref="B36:C37"/>
    <mergeCell ref="AC3:AC6"/>
    <mergeCell ref="AD3:AD6"/>
    <mergeCell ref="AP2:AP6"/>
    <mergeCell ref="AQ2:AQ6"/>
    <mergeCell ref="C1:AR1"/>
    <mergeCell ref="C2:AG2"/>
    <mergeCell ref="AH2:AH6"/>
    <mergeCell ref="AI2:AI6"/>
    <mergeCell ref="AJ2:AJ6"/>
    <mergeCell ref="AK2:AK6"/>
    <mergeCell ref="AR2:AR6"/>
    <mergeCell ref="L3:L6"/>
    <mergeCell ref="M3:M6"/>
    <mergeCell ref="N3:N6"/>
    <mergeCell ref="O3:O6"/>
    <mergeCell ref="P3:P6"/>
    <mergeCell ref="J3:J6"/>
    <mergeCell ref="K3:K6"/>
    <mergeCell ref="Z3:Z6"/>
    <mergeCell ref="AA3:AA6"/>
    <mergeCell ref="AB3:AB6"/>
    <mergeCell ref="Q3:Q6"/>
    <mergeCell ref="R3:R6"/>
    <mergeCell ref="S3:S6"/>
    <mergeCell ref="T3:T6"/>
    <mergeCell ref="U3:U6"/>
    <mergeCell ref="V3:V6"/>
    <mergeCell ref="W3:W6"/>
    <mergeCell ref="X3:X6"/>
    <mergeCell ref="Y3:Y6"/>
    <mergeCell ref="AL2:AL6"/>
    <mergeCell ref="AM2:AM6"/>
    <mergeCell ref="AN2:AN6"/>
    <mergeCell ref="AO2:AO6"/>
    <mergeCell ref="A1:B1"/>
    <mergeCell ref="C3:C6"/>
    <mergeCell ref="A4:B5"/>
    <mergeCell ref="D3:D6"/>
    <mergeCell ref="E3:E6"/>
    <mergeCell ref="F3:F6"/>
    <mergeCell ref="G3:G6"/>
    <mergeCell ref="H3:H6"/>
    <mergeCell ref="I3:I6"/>
    <mergeCell ref="AE3:AE6"/>
    <mergeCell ref="AF3:AF6"/>
    <mergeCell ref="AG3:AG6"/>
  </mergeCells>
  <conditionalFormatting sqref="C7:AG27">
    <cfRule type="containsText" dxfId="2" priority="1" operator="containsText" text="AB">
      <formula>NOT(ISERROR(SEARCH(("AB"),(C7))))</formula>
    </cfRule>
  </conditionalFormatting>
  <conditionalFormatting sqref="C7:AG27">
    <cfRule type="cellIs" dxfId="1" priority="2" operator="greaterThan">
      <formula>0</formula>
    </cfRule>
  </conditionalFormatting>
  <conditionalFormatting sqref="C7:AG27">
    <cfRule type="containsText" dxfId="0" priority="3" operator="containsText" text="TR">
      <formula>NOT(ISERROR(SEARCH(("TR"),(C7))))</formula>
    </cfRule>
  </conditionalFormatting>
  <dataValidations count="1">
    <dataValidation type="list" allowBlank="1" showErrorMessage="1" sqref="C7:AG27" xr:uid="{00000000-0002-0000-0000-000000000000}">
      <formula1>"PT,AB,SL,OF,VC,XO,PH,TR,HD,FD,OH,DP,1,2,3,4,5,6,7,8,9,10,11,12"</formula1>
    </dataValidation>
  </dataValidations>
  <printOptions horizontalCentered="1" gridLines="1"/>
  <pageMargins left="0.25" right="0.25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2026-01-27T07:12:01Z</dcterms:modified>
</cp:coreProperties>
</file>